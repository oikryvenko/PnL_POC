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siness Req" sheetId="2" state="visible" r:id="rId2"/>
    <sheet xmlns:r="http://schemas.openxmlformats.org/officeDocument/2006/relationships" name="Functional Req" sheetId="3" state="visible" r:id="rId3"/>
    <sheet xmlns:r="http://schemas.openxmlformats.org/officeDocument/2006/relationships" name="NFRs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Epics" sheetId="7" state="visible" r:id="rId7"/>
    <sheet xmlns:r="http://schemas.openxmlformats.org/officeDocument/2006/relationships" name="Stories" sheetId="8" state="visible" r:id="rId8"/>
    <sheet xmlns:r="http://schemas.openxmlformats.org/officeDocument/2006/relationships" name="Subtasks" sheetId="9" state="visible" r:id="rId9"/>
    <sheet xmlns:r="http://schemas.openxmlformats.org/officeDocument/2006/relationships" name="Acceptance Criteria" sheetId="10" state="visible" r:id="rId10"/>
    <sheet xmlns:r="http://schemas.openxmlformats.org/officeDocument/2006/relationships" name="Dependencies" sheetId="11" state="visible" r:id="rId11"/>
    <sheet xmlns:r="http://schemas.openxmlformats.org/officeDocument/2006/relationships" name="Sprints" sheetId="12" state="visible" r:id="rId12"/>
    <sheet xmlns:r="http://schemas.openxmlformats.org/officeDocument/2006/relationships" name="Gantt" sheetId="13" state="visible" r:id="rId13"/>
    <sheet xmlns:r="http://schemas.openxmlformats.org/officeDocument/2006/relationships" name="Milestones" sheetId="14" state="visible" r:id="rId14"/>
    <sheet xmlns:r="http://schemas.openxmlformats.org/officeDocument/2006/relationships" name="RAID" sheetId="15" state="visible" r:id="rId15"/>
    <sheet xmlns:r="http://schemas.openxmlformats.org/officeDocument/2006/relationships" name="Traceability" sheetId="16" state="visible" r:id="rId16"/>
    <sheet xmlns:r="http://schemas.openxmlformats.org/officeDocument/2006/relationships" name="Test Plan" sheetId="17" state="visible" r:id="rId17"/>
    <sheet xmlns:r="http://schemas.openxmlformats.org/officeDocument/2006/relationships" name="Current State" sheetId="18" state="visible" r:id="rId18"/>
  </sheets>
  <definedNames>
    <definedName name="_xlnm._FilterDatabase" localSheetId="1" hidden="1">'Business Req'!$A$1:$H$9</definedName>
    <definedName name="_xlnm._FilterDatabase" localSheetId="2" hidden="1">'Functional Req'!$A$1:$L$14</definedName>
    <definedName name="_xlnm._FilterDatabase" localSheetId="3" hidden="1">'NFRs'!$A$1:$E$11</definedName>
    <definedName name="_xlnm._FilterDatabase" localSheetId="4" hidden="1">'Data Sources'!$A$1:$N$4</definedName>
    <definedName name="_xlnm._FilterDatabase" localSheetId="5" hidden="1">'Data Dictionary'!$A$1:$R$139</definedName>
    <definedName name="_xlnm._FilterDatabase" localSheetId="6" hidden="1">'Epics'!$A$1:$E$14</definedName>
    <definedName name="_xlnm._FilterDatabase" localSheetId="7" hidden="1">'Stories'!$A$1:$O$25</definedName>
    <definedName name="_xlnm._FilterDatabase" localSheetId="8" hidden="1">'Subtasks'!$A$1:$E$49</definedName>
    <definedName name="_xlnm._FilterDatabase" localSheetId="9" hidden="1">'Acceptance Criteria'!$A$1:$D$76</definedName>
    <definedName name="_xlnm._FilterDatabase" localSheetId="10" hidden="1">'Dependencies'!$A$1:$F$39</definedName>
    <definedName name="_xlnm._FilterDatabase" localSheetId="11" hidden="1">'Sprints'!$A$1:$I$5</definedName>
    <definedName name="_xlnm._FilterDatabase" localSheetId="12" hidden="1">'Gantt'!$A$1:$M$14</definedName>
    <definedName name="_xlnm._FilterDatabase" localSheetId="13" hidden="1">'Milestones'!$A$1:$G$5</definedName>
    <definedName name="_xlnm._FilterDatabase" localSheetId="14" hidden="1">'RAID'!$A$1:$H$10</definedName>
    <definedName name="_xlnm._FilterDatabase" localSheetId="15" hidden="1">'Traceability'!$A$1:$F$60</definedName>
    <definedName name="_xlnm._FilterDatabase" localSheetId="16" hidden="1">'Test Plan'!$A$1:$H$13</definedName>
    <definedName name="_xlnm._FilterDatabase" localSheetId="17" hidden="1">'Current State'!$A$1:$E$10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;;;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16324F"/>
      <sz val="10"/>
    </font>
    <font>
      <b val="1"/>
      <color rgb="00FFFFFF"/>
    </font>
    <font>
      <name val="Aptos"/>
      <b val="1"/>
      <color rgb="00FFFFFF"/>
      <sz val="10"/>
    </font>
    <font>
      <name val="Aptos"/>
      <color rgb="00233746"/>
      <sz val="10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5F8FA"/>
      </patternFill>
    </fill>
    <fill>
      <patternFill patternType="solid">
        <fgColor rgb="00007C78"/>
      </patternFill>
    </fill>
  </fills>
  <borders count="2">
    <border>
      <left/>
      <right/>
      <top/>
      <bottom/>
      <diagonal/>
    </border>
    <border>
      <bottom style="medium">
        <color rgb="00007C7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5" fillId="3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1F1EF"/>
        </patternFill>
      </fill>
    </dxf>
    <dxf>
      <fill>
        <patternFill patternType="solid">
          <fgColor rgb="00FAF0E5"/>
        </patternFill>
      </fill>
    </dxf>
    <dxf>
      <fill>
        <patternFill patternType="solid">
          <fgColor rgb="00F8E8E6"/>
        </patternFill>
      </fill>
    </dxf>
    <dxf>
      <fill>
        <patternFill patternType="solid">
          <fgColor rgb="00E9ECEF"/>
        </patternFill>
      </fill>
    </dxf>
    <dxf>
      <font>
        <color rgb="00007C78"/>
      </font>
      <fill>
        <patternFill patternType="solid">
          <fgColor rgb="00007C7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44" customWidth="1" min="3" max="3"/>
    <col width="15" customWidth="1" min="4" max="4"/>
    <col width="15" customWidth="1" min="5" max="5"/>
    <col width="15" customWidth="1" min="6" max="6"/>
  </cols>
  <sheetData>
    <row r="1" ht="42" customHeight="1">
      <c r="A1" s="1" t="inlineStr">
        <is>
          <t>TRADING PLATFORM | DELIVERY PLAN</t>
        </is>
      </c>
    </row>
    <row r="2">
      <c r="A2" s="2" t="inlineStr">
        <is>
          <t>Evidence baseline</t>
        </is>
      </c>
      <c r="B2" s="3" t="inlineStr">
        <is>
          <t>2026-10-14; repository + docs/test_results.md dated 2026-10-11</t>
        </is>
      </c>
      <c r="C2" s="3" t="inlineStr"/>
      <c r="D2" s="3" t="inlineStr"/>
      <c r="E2" s="3" t="inlineStr"/>
      <c r="F2" s="3" t="inlineStr"/>
    </row>
    <row r="3">
      <c r="A3" s="4" t="inlineStr">
        <is>
          <t>Purpose</t>
        </is>
      </c>
      <c r="B3" s="5" t="inlineStr">
        <is>
          <t>Databricks trading data processing and daily P&amp;L proof of concept</t>
        </is>
      </c>
      <c r="C3" s="5" t="inlineStr"/>
      <c r="D3" s="5" t="inlineStr"/>
      <c r="E3" s="5" t="inlineStr"/>
      <c r="F3" s="5" t="inlineStr"/>
    </row>
    <row r="4">
      <c r="A4" s="2" t="inlineStr">
        <is>
          <t>Current implementation</t>
        </is>
      </c>
      <c r="B4" s="3" t="inlineStr">
        <is>
          <t>Six-task Databricks Workflow; 10 Delta tables in cibc.bronze/silver/gold; synthetic trades; Yahoo Finance prices; position/P&amp;L; audit/rejects; notebooks/SQL.</t>
        </is>
      </c>
      <c r="C4" s="3" t="inlineStr"/>
      <c r="D4" s="3" t="inlineStr"/>
      <c r="E4" s="3" t="inlineStr"/>
      <c r="F4" s="3" t="inlineStr"/>
    </row>
    <row r="5">
      <c r="A5" s="4" t="inlineStr">
        <is>
          <t>Not implemented / not evidenced</t>
        </is>
      </c>
      <c r="B5" s="5" t="inlineStr">
        <is>
          <t>Deployed dashboard; approved market-data contract; non-dev Bundle targets/CI; automated alerting; production identity; approved retention/RTO/RPO; successful second same-input Databricks run.</t>
        </is>
      </c>
      <c r="C5" s="5" t="inlineStr"/>
      <c r="D5" s="5" t="inlineStr"/>
      <c r="E5" s="5" t="inlineStr"/>
      <c r="F5" s="5" t="inlineStr"/>
    </row>
    <row r="6">
      <c r="A6" s="2" t="inlineStr">
        <is>
          <t>Schedule</t>
        </is>
      </c>
      <c r="B6" s="3" t="inlineStr">
        <is>
          <t>Proposed 8-week / four 2-week sprints. 40 story points at assumed 10 points per sprint; no capacity reserve. Relative weeks only, not approved calendar dates.</t>
        </is>
      </c>
      <c r="C6" s="3" t="inlineStr"/>
      <c r="D6" s="3" t="inlineStr"/>
      <c r="E6" s="3" t="inlineStr"/>
      <c r="F6" s="3" t="inlineStr"/>
    </row>
    <row r="7">
      <c r="A7" s="4" t="inlineStr">
        <is>
          <t>Prototype limitation</t>
        </is>
      </c>
      <c r="B7" s="5" t="inlineStr">
        <is>
          <t>USD cash equities; ten in-code instruments; approximate NYSE calendar; full-history recompute; simplified daily P&amp;L; fees, FX, corporate actions, dividends, settlement cash, and short-sale mechanics excluded.</t>
        </is>
      </c>
      <c r="C7" s="5" t="inlineStr"/>
      <c r="D7" s="5" t="inlineStr"/>
      <c r="E7" s="5" t="inlineStr"/>
      <c r="F7" s="5" t="inlineStr"/>
    </row>
    <row r="8">
      <c r="A8" s="2" t="inlineStr">
        <is>
          <t>Jira import</t>
        </is>
      </c>
      <c r="B8" s="3" t="inlineStr">
        <is>
          <t>Temporary planning IDs; map planning key to custom field, issue hierarchy and Epic Link to Jira fields, and replace planning Epic Link values with created Jira epic keys where required.</t>
        </is>
      </c>
      <c r="C8" s="3" t="inlineStr"/>
      <c r="D8" s="3" t="inlineStr"/>
      <c r="E8" s="3" t="inlineStr"/>
      <c r="F8" s="3" t="inlineStr"/>
    </row>
    <row r="9">
      <c r="A9" s="6" t="inlineStr">
        <is>
          <t>Status legend</t>
        </is>
      </c>
      <c r="B9" s="6" t="inlineStr">
        <is>
          <t>IMPLEMENTED = code/config/test/run evidence; PARTIALLY IMPLEMENTED = supporting behavior with a material gap; PLANNED = not delivered; TO BE CONFIRMED = evidence/owner absent.</t>
        </is>
      </c>
      <c r="C9" s="6" t="inlineStr"/>
      <c r="D9" s="6" t="inlineStr"/>
      <c r="E9" s="6" t="inlineStr"/>
      <c r="F9" s="6" t="inlineStr"/>
    </row>
    <row r="10">
      <c r="A10" s="2" t="inlineStr">
        <is>
          <t>Metric</t>
        </is>
      </c>
      <c r="B10" s="3" t="inlineStr">
        <is>
          <t>Value</t>
        </is>
      </c>
      <c r="C10" s="3" t="inlineStr">
        <is>
          <t>Interpretation</t>
        </is>
      </c>
      <c r="D10" s="3" t="inlineStr"/>
      <c r="E10" s="3" t="inlineStr"/>
      <c r="F10" s="3" t="inlineStr"/>
    </row>
    <row r="11">
      <c r="A11" s="4" t="inlineStr">
        <is>
          <t>Business requirements</t>
        </is>
      </c>
      <c r="B11" s="5">
        <f>COUNTA('Business Req'!A:A)-1</f>
        <v/>
      </c>
      <c r="C11" s="5" t="inlineStr">
        <is>
          <t>Eight business outcomes</t>
        </is>
      </c>
      <c r="D11" s="5" t="inlineStr"/>
      <c r="E11" s="5" t="inlineStr"/>
      <c r="F11" s="5" t="inlineStr"/>
    </row>
    <row r="12">
      <c r="A12" s="2" t="inlineStr">
        <is>
          <t>Functional requirements</t>
        </is>
      </c>
      <c r="B12" s="3">
        <f>COUNTA('Functional Req'!A:A)-1</f>
        <v/>
      </c>
      <c r="C12" s="3" t="inlineStr">
        <is>
          <t>Detailed system behaviors</t>
        </is>
      </c>
      <c r="D12" s="3" t="inlineStr"/>
      <c r="E12" s="3" t="inlineStr"/>
      <c r="F12" s="3" t="inlineStr"/>
    </row>
    <row r="13">
      <c r="A13" s="4" t="inlineStr">
        <is>
          <t>Jira epics</t>
        </is>
      </c>
      <c r="B13" s="5">
        <f>COUNTA(Epics!A:A)-1</f>
        <v/>
      </c>
      <c r="C13" s="5" t="inlineStr">
        <is>
          <t>Planning hierarchy</t>
        </is>
      </c>
      <c r="D13" s="5" t="inlineStr"/>
      <c r="E13" s="5" t="inlineStr"/>
      <c r="F13" s="5" t="inlineStr"/>
    </row>
    <row r="14">
      <c r="A14" s="2" t="inlineStr">
        <is>
          <t>Jira stories</t>
        </is>
      </c>
      <c r="B14" s="3">
        <f>COUNTA(Stories!A:A)-1</f>
        <v/>
      </c>
      <c r="C14" s="3" t="inlineStr">
        <is>
          <t>Includes current-state and proposed work</t>
        </is>
      </c>
      <c r="D14" s="3" t="inlineStr"/>
      <c r="E14" s="3" t="inlineStr"/>
      <c r="F14" s="3" t="inlineStr"/>
    </row>
    <row r="15">
      <c r="A15" s="4" t="inlineStr">
        <is>
          <t>Planned sprint points</t>
        </is>
      </c>
      <c r="B15" s="5">
        <f>SUM(Sprints!E2:E5)</f>
        <v/>
      </c>
      <c r="C15" s="5" t="inlineStr">
        <is>
          <t>Proposed 8-week baseline; no reserve</t>
        </is>
      </c>
      <c r="D15" s="5" t="inlineStr"/>
      <c r="E15" s="5" t="inlineStr"/>
      <c r="F15" s="5" t="inlineStr"/>
    </row>
    <row r="16">
      <c r="A16" s="2" t="inlineStr">
        <is>
          <t>Physical dictionary columns</t>
        </is>
      </c>
      <c r="B16" s="3">
        <f>COUNTA('Data Dictionary'!G:G)-1</f>
        <v/>
      </c>
      <c r="C16" s="3" t="inlineStr">
        <is>
          <t>DDL-derived across 10 tables</t>
        </is>
      </c>
      <c r="D16" s="3" t="inlineStr"/>
      <c r="E16" s="3" t="inlineStr"/>
      <c r="F16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4" customWidth="1" min="3" max="3"/>
    <col width="14" customWidth="1" min="4" max="4"/>
    <col width="62" customWidth="1" min="5" max="5"/>
    <col width="34" customWidth="1" min="6" max="6"/>
    <col width="24" customWidth="1" min="7" max="7"/>
    <col width="30" customWidth="1" min="8" max="8"/>
  </cols>
  <sheetData>
    <row r="1" ht="34" customHeight="1">
      <c r="A1" s="7" t="inlineStr">
        <is>
          <t>BR ID</t>
        </is>
      </c>
      <c r="B1" s="7" t="inlineStr">
        <is>
          <t>Requirement</t>
        </is>
      </c>
      <c r="C1" s="7" t="inlineStr">
        <is>
          <t>Business justification</t>
        </is>
      </c>
      <c r="D1" s="7" t="inlineStr">
        <is>
          <t>Priority</t>
        </is>
      </c>
      <c r="E1" s="7" t="inlineStr">
        <is>
          <t>Acceptance criteria</t>
        </is>
      </c>
      <c r="F1" s="7" t="inlineStr">
        <is>
          <t>Dependencies</t>
        </is>
      </c>
      <c r="G1" s="7" t="inlineStr">
        <is>
          <t>Implementation status</t>
        </is>
      </c>
      <c r="H1" s="7" t="inlineStr">
        <is>
          <t>Functional requirements</t>
        </is>
      </c>
    </row>
    <row r="2" ht="34" customHeight="1">
      <c r="A2" s="8" t="inlineStr">
        <is>
          <t>BR-001</t>
        </is>
      </c>
      <c r="B2" s="8" t="inlineStr">
        <is>
          <t>Ingest trade transactions from an agreed source.</t>
        </is>
      </c>
      <c r="C2" s="8" t="inlineStr">
        <is>
          <t>Provide complete, traceable trade activity for positions and P&amp;L.</t>
        </is>
      </c>
      <c r="D2" s="8" t="inlineStr">
        <is>
          <t>Must</t>
        </is>
      </c>
      <c r="E2" s="8" t="inlineStr">
        <is>
          <t>A valid input snapshot is recorded in Bronze with source and run lineage; invalid file structure fails before replacing the prior snapshot.</t>
        </is>
      </c>
      <c r="F2" s="8" t="inlineStr">
        <is>
          <t>Trade source contract; Unity Catalog Volume</t>
        </is>
      </c>
      <c r="G2" s="8" t="inlineStr">
        <is>
          <t>IMPLEMENTED</t>
        </is>
      </c>
      <c r="H2" s="8" t="inlineStr">
        <is>
          <t>FR-001; FR-003; FR-004; FR-005; FR-013</t>
        </is>
      </c>
    </row>
    <row r="3" ht="34" customHeight="1">
      <c r="A3" s="9" t="inlineStr">
        <is>
          <t>BR-002</t>
        </is>
      </c>
      <c r="B3" s="9" t="inlineStr">
        <is>
          <t>Ingest daily market prices for supported instruments.</t>
        </is>
      </c>
      <c r="C3" s="9" t="inlineStr">
        <is>
          <t>Provide valuation marks and P&amp;L inputs.</t>
        </is>
      </c>
      <c r="D3" s="9" t="inlineStr">
        <is>
          <t>Must</t>
        </is>
      </c>
      <c r="E3" s="9" t="inlineStr">
        <is>
          <t>Requested daily prices are recorded with source/date/currency lineage; missing expected sessions are visible and block incomplete Silver publication.</t>
        </is>
      </c>
      <c r="F3" s="9" t="inlineStr">
        <is>
          <t>Provider availability and ticker universe</t>
        </is>
      </c>
      <c r="G3" s="9" t="inlineStr">
        <is>
          <t>IMPLEMENTED</t>
        </is>
      </c>
      <c r="H3" s="9" t="inlineStr">
        <is>
          <t>FR-002; FR-003; FR-005; FR-013</t>
        </is>
      </c>
    </row>
    <row r="4" ht="34" customHeight="1">
      <c r="A4" s="8" t="inlineStr">
        <is>
          <t>BR-003</t>
        </is>
      </c>
      <c r="B4" s="8" t="inlineStr">
        <is>
          <t>Maintain accurate trade records, including corrections and duplicates.</t>
        </is>
      </c>
      <c r="C4" s="8" t="inlineStr">
        <is>
          <t>Prevent stale or ambiguous executions from contaminating financial results.</t>
        </is>
      </c>
      <c r="D4" s="8" t="inlineStr">
        <is>
          <t>Must</t>
        </is>
      </c>
      <c r="E4" s="8" t="inlineStr">
        <is>
          <t>One latest valid version per trade_id is used; invalid/ambiguous latest versions are excluded and explained; source-history limitations are disclosed.</t>
        </is>
      </c>
      <c r="F4" s="8" t="inlineStr">
        <is>
          <t>Trade version contract; immutable source history decision</t>
        </is>
      </c>
      <c r="G4" s="8" t="inlineStr">
        <is>
          <t>PARTIALLY IMPLEMENTED</t>
        </is>
      </c>
      <c r="H4" s="8" t="inlineStr">
        <is>
          <t>FR-004; FR-005; FR-009; FR-013</t>
        </is>
      </c>
    </row>
    <row r="5" ht="34" customHeight="1">
      <c r="A5" s="9" t="inlineStr">
        <is>
          <t>BR-004</t>
        </is>
      </c>
      <c r="B5" s="9" t="inlineStr">
        <is>
          <t>Calculate historical and daily positions by date, book, counterparty, instrument, and currency.</t>
        </is>
      </c>
      <c r="C5" s="9" t="inlineStr">
        <is>
          <t>Give trading users a reproducible inventory view.</t>
        </is>
      </c>
      <c r="D5" s="9" t="inlineStr">
        <is>
          <t>Must</t>
        </is>
      </c>
      <c r="E5" s="9" t="inlineStr">
        <is>
          <t>Daily signed net quantities reconcile to accepted trades and carry forward on expected sessions; source corrections update affected dates.</t>
        </is>
      </c>
      <c r="F5" s="9" t="inlineStr">
        <is>
          <t>Validated trades; supported trading calendar</t>
        </is>
      </c>
      <c r="G5" s="9" t="inlineStr">
        <is>
          <t>IMPLEMENTED</t>
        </is>
      </c>
      <c r="H5" s="9" t="inlineStr">
        <is>
          <t>FR-006; FR-007; FR-009</t>
        </is>
      </c>
    </row>
    <row r="6" ht="34" customHeight="1">
      <c r="A6" s="8" t="inlineStr">
        <is>
          <t>BR-005</t>
        </is>
      </c>
      <c r="B6" s="8" t="inlineStr">
        <is>
          <t>Calculate daily position valuation and daily P&amp;L.</t>
        </is>
      </c>
      <c r="C6" s="8" t="inlineStr">
        <is>
          <t>Provide transparent daily equity valuation and trading P&amp;L.</t>
        </is>
      </c>
      <c r="D6" s="8" t="inlineStr">
        <is>
          <t>Must</t>
        </is>
      </c>
      <c r="E6" s="8" t="inlineStr">
        <is>
          <t>Gold contains daily valuation and decomposed daily P&amp;L; missing marks/baselines remain NULL with breaks; quantity changes are not misattributed to price movement.</t>
        </is>
      </c>
      <c r="F6" s="8" t="inlineStr">
        <is>
          <t>Positions; validated price history; approved methodology</t>
        </is>
      </c>
      <c r="G6" s="8" t="inlineStr">
        <is>
          <t>IMPLEMENTED</t>
        </is>
      </c>
      <c r="H6" s="8" t="inlineStr">
        <is>
          <t>FR-007; FR-008; FR-009</t>
        </is>
      </c>
    </row>
    <row r="7" ht="34" customHeight="1">
      <c r="A7" s="9" t="inlineStr">
        <is>
          <t>BR-006</t>
        </is>
      </c>
      <c r="B7" s="9" t="inlineStr">
        <is>
          <t>Provide trading, P&amp;L, and operational reporting.</t>
        </is>
      </c>
      <c r="C7" s="9" t="inlineStr">
        <is>
          <t>Make outcomes and exceptions accessible to users.</t>
        </is>
      </c>
      <c r="D7" s="9" t="inlineStr">
        <is>
          <t>Should</t>
        </is>
      </c>
      <c r="E7" s="9" t="inlineStr">
        <is>
          <t>Read-only report/query surfaces expose run status, rejects, positions, P&amp;L, and breaks; a dashboard is delivered only after user acceptance criteria are agreed.</t>
        </is>
      </c>
      <c r="F7" s="9" t="inlineStr">
        <is>
          <t>Reporting requirements; Gold datasets</t>
        </is>
      </c>
      <c r="G7" s="9" t="inlineStr">
        <is>
          <t>PARTIALLY IMPLEMENTED</t>
        </is>
      </c>
      <c r="H7" s="9" t="inlineStr">
        <is>
          <t>FR-010; FR-011</t>
        </is>
      </c>
    </row>
    <row r="8" ht="34" customHeight="1">
      <c r="A8" s="8" t="inlineStr">
        <is>
          <t>BR-007</t>
        </is>
      </c>
      <c r="B8" s="8" t="inlineStr">
        <is>
          <t>Support operational monitoring, auditability, and error investigation.</t>
        </is>
      </c>
      <c r="C8" s="8" t="inlineStr">
        <is>
          <t>Make failed and incomplete processing diagnosable.</t>
        </is>
      </c>
      <c r="D8" s="8" t="inlineStr">
        <is>
          <t>Must</t>
        </is>
      </c>
      <c r="E8" s="8" t="inlineStr">
        <is>
          <t>Every task attempt records status, timestamps, row counts, issue counts, and error details; valuation breaks and rejects retain lineage.</t>
        </is>
      </c>
      <c r="F8" s="8" t="inlineStr">
        <is>
          <t>Audit and reject tables; operations ownership</t>
        </is>
      </c>
      <c r="G8" s="8" t="inlineStr">
        <is>
          <t>PARTIALLY IMPLEMENTED</t>
        </is>
      </c>
      <c r="H8" s="8" t="inlineStr">
        <is>
          <t>FR-005; FR-011; FR-012; FR-013</t>
        </is>
      </c>
    </row>
    <row r="9" ht="34" customHeight="1">
      <c r="A9" s="9" t="inlineStr">
        <is>
          <t>BR-008</t>
        </is>
      </c>
      <c r="B9" s="9" t="inlineStr">
        <is>
          <t>Automate repeatable daily processing with controlled reruns.</t>
        </is>
      </c>
      <c r="C9" s="9" t="inlineStr">
        <is>
          <t>Reduce manual handling and support predictable delivery.</t>
        </is>
      </c>
      <c r="D9" s="9" t="inlineStr">
        <is>
          <t>Must</t>
        </is>
      </c>
      <c r="E9" s="9" t="inlineStr">
        <is>
          <t>A parameterized workflow executes the dependency graph; retry/rerun behavior is tested; production schedule remains disabled until readiness sign-off.</t>
        </is>
      </c>
      <c r="F9" s="9" t="inlineStr">
        <is>
          <t>Production environment, source SLA, support model</t>
        </is>
      </c>
      <c r="G9" s="9" t="inlineStr">
        <is>
          <t>PARTIALLY IMPLEMENTED</t>
        </is>
      </c>
      <c r="H9" s="9" t="inlineStr">
        <is>
          <t>FR-012; FR-013</t>
        </is>
      </c>
    </row>
  </sheetData>
  <autoFilter ref="A1:H9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36" customWidth="1" min="4" max="4"/>
    <col width="50" customWidth="1" min="5" max="5"/>
    <col width="38" customWidth="1" min="6" max="6"/>
    <col width="44" customWidth="1" min="7" max="7"/>
    <col width="42" customWidth="1" min="8" max="8"/>
    <col width="52" customWidth="1" min="9" max="9"/>
    <col width="36" customWidth="1" min="10" max="10"/>
    <col width="24" customWidth="1" min="11" max="11"/>
    <col width="28" customWidth="1" min="12" max="12"/>
  </cols>
  <sheetData>
    <row r="1" ht="34" customHeight="1">
      <c r="A1" s="7" t="inlineStr">
        <is>
          <t>FR ID</t>
        </is>
      </c>
      <c r="B1" s="7" t="inlineStr">
        <is>
          <t>Parent BR</t>
        </is>
      </c>
      <c r="C1" s="7" t="inlineStr">
        <is>
          <t>Functional description</t>
        </is>
      </c>
      <c r="D1" s="7" t="inlineStr">
        <is>
          <t>Input</t>
        </is>
      </c>
      <c r="E1" s="7" t="inlineStr">
        <is>
          <t>Processing logic</t>
        </is>
      </c>
      <c r="F1" s="7" t="inlineStr">
        <is>
          <t>Expected output</t>
        </is>
      </c>
      <c r="G1" s="7" t="inlineStr">
        <is>
          <t>Business rules</t>
        </is>
      </c>
      <c r="H1" s="7" t="inlineStr">
        <is>
          <t>Error handling</t>
        </is>
      </c>
      <c r="I1" s="7" t="inlineStr">
        <is>
          <t>Acceptance criteria</t>
        </is>
      </c>
      <c r="J1" s="7" t="inlineStr">
        <is>
          <t>Components</t>
        </is>
      </c>
      <c r="K1" s="7" t="inlineStr">
        <is>
          <t>Implementation status</t>
        </is>
      </c>
      <c r="L1" s="7" t="inlineStr">
        <is>
          <t>Jira stories</t>
        </is>
      </c>
    </row>
    <row r="2" ht="34" customHeight="1">
      <c r="A2" s="8" t="inlineStr">
        <is>
          <t>FR-001</t>
        </is>
      </c>
      <c r="B2" s="8" t="inlineStr">
        <is>
          <t>BR-001</t>
        </is>
      </c>
      <c r="C2" s="8" t="inlineStr">
        <is>
          <t>Read the 14-column trade CSV from the configured Unity Catalog Volume as raw strings.</t>
        </is>
      </c>
      <c r="D2" s="8" t="inlineStr">
        <is>
          <t>CSV snapshot at configured Volume path</t>
        </is>
      </c>
      <c r="E2" s="8" t="inlineStr">
        <is>
          <t>Validate exact header, non-empty content, and structural integrity before write; remove identical in-batch rows.</t>
        </is>
      </c>
      <c r="F2" s="8" t="inlineStr">
        <is>
          <t>cibc.bronze.trades snapshot with source_file, ingestion_timestamp, run_id</t>
        </is>
      </c>
      <c r="G2" s="8" t="inlineStr">
        <is>
          <t>All source columns remain raw strings in Bronze; different trade versions remain distinct.</t>
        </is>
      </c>
      <c r="H2" s="8" t="inlineStr">
        <is>
          <t>Fail before overwrite for bad header, empty file, corrupt row, or unreadable source; audit failure.</t>
        </is>
      </c>
      <c r="I2" s="8" t="inlineStr">
        <is>
          <t>A valid fixture replaces Bronze with distinct raw rows and correct lineage; invalid fixtures leave the previous snapshot unchanged.</t>
        </is>
      </c>
      <c r="J2" s="8" t="inlineStr">
        <is>
          <t>scripts/generate_trades.py; bronze/ingest_trades.py; UC Volume</t>
        </is>
      </c>
      <c r="K2" s="8" t="inlineStr">
        <is>
          <t>IMPLEMENTED</t>
        </is>
      </c>
      <c r="L2" s="8" t="inlineStr">
        <is>
          <t>TMP-011</t>
        </is>
      </c>
    </row>
    <row r="3" ht="34" customHeight="1">
      <c r="A3" s="9" t="inlineStr">
        <is>
          <t>FR-002</t>
        </is>
      </c>
      <c r="B3" s="9" t="inlineStr">
        <is>
          <t>BR-002</t>
        </is>
      </c>
      <c r="C3" s="9" t="inlineStr">
        <is>
          <t>Download daily unadjusted closing prices for requested tickers and inclusive date range.</t>
        </is>
      </c>
      <c r="D3" s="9" t="inlineStr">
        <is>
          <t>Ticker/date parameters; yfinance public endpoint</t>
        </is>
      </c>
      <c r="E3" s="9" t="inlineStr">
        <is>
          <t>Retry transient provider exceptions up to 3 attempts; normalize response shapes; record close, USD, source API, ingestion timestamp, run id.</t>
        </is>
      </c>
      <c r="F3" s="9" t="inlineStr">
        <is>
          <t>cibc.bronze.market_prices</t>
        </is>
      </c>
      <c r="G3" s="9" t="inlineStr">
        <is>
          <t>Default 10 configured symbols and seven-day lookback; no credentials currently used.</t>
        </is>
      </c>
      <c r="H3" s="9" t="inlineStr">
        <is>
          <t>Fail on empty expected response, missing ticker, malformed or ambiguous response; no synthetic price is invented.</t>
        </is>
      </c>
      <c r="I3" s="9" t="inlineStr">
        <is>
          <t>Fixture tests cover flat and MultiIndex payloads; missing expected sessions are surfaced.</t>
        </is>
      </c>
      <c r="J3" s="9" t="inlineStr">
        <is>
          <t>bronze/ingest_prices.py; yfinance</t>
        </is>
      </c>
      <c r="K3" s="9" t="inlineStr">
        <is>
          <t>IMPLEMENTED</t>
        </is>
      </c>
      <c r="L3" s="9" t="inlineStr">
        <is>
          <t>TMP-013; TMP-014</t>
        </is>
      </c>
    </row>
    <row r="4" ht="34" customHeight="1">
      <c r="A4" s="8" t="inlineStr">
        <is>
          <t>FR-003</t>
        </is>
      </c>
      <c r="B4" s="8" t="inlineStr">
        <is>
          <t>BR-001</t>
        </is>
      </c>
      <c r="C4" s="8" t="inlineStr">
        <is>
          <t>Validate source schemas and convert raw values into typed Silver fields.</t>
        </is>
      </c>
      <c r="D4" s="8" t="inlineStr">
        <is>
          <t>Bronze trades and prices</t>
        </is>
      </c>
      <c r="E4" s="8" t="inlineStr">
        <is>
          <t>Use try_cast into DATE, TIMESTAMP, INT, DECIMAL(18,6), and preserve raw values in rejects.</t>
        </is>
      </c>
      <c r="F4" s="8" t="inlineStr">
        <is>
          <t>Typed Silver trades/prices and reject tables</t>
        </is>
      </c>
      <c r="G4" s="8" t="inlineStr">
        <is>
          <t>Financial amounts and quantities use DECIMAL; source IDs remain STRING.</t>
        </is>
      </c>
      <c r="H4" s="8" t="inlineStr">
        <is>
          <t>Uncastable/invalid records are quarantined; incomplete expected price sessions prevent Silver merge.</t>
        </is>
      </c>
      <c r="I4" s="8" t="inlineStr">
        <is>
          <t>Schema and cast tests verify typed values and preserve reason codes.</t>
        </is>
      </c>
      <c r="J4" s="8" t="inlineStr">
        <is>
          <t>silver/process_trades.py; silver/process_prices.py</t>
        </is>
      </c>
      <c r="K4" s="8" t="inlineStr">
        <is>
          <t>IMPLEMENTED</t>
        </is>
      </c>
      <c r="L4" s="8" t="inlineStr">
        <is>
          <t>TMP-015; TMP-016</t>
        </is>
      </c>
    </row>
    <row r="5" ht="34" customHeight="1">
      <c r="A5" s="9" t="inlineStr">
        <is>
          <t>FR-004</t>
        </is>
      </c>
      <c r="B5" s="9" t="inlineStr">
        <is>
          <t>BR-003</t>
        </is>
      </c>
      <c r="C5" s="9" t="inlineStr">
        <is>
          <t>Select the highest trade version, then latest modified_timestamp, per trade_id.</t>
        </is>
      </c>
      <c r="D5" s="9" t="inlineStr">
        <is>
          <t>Bronze trade snapshot</t>
        </is>
      </c>
      <c r="E5" s="9" t="inlineStr">
        <is>
          <t>Reject exact duplicates; reject conflicting ties; do not fall back when the latest version is invalid or ambiguous.</t>
        </is>
      </c>
      <c r="F5" s="9" t="inlineStr">
        <is>
          <t>At most one accepted Silver row per trade_id</t>
        </is>
      </c>
      <c r="G5" s="9" t="inlineStr">
        <is>
          <t>Only trade IDs still in the new snapshot are removed when latest is unusable; absent IDs are not deleted from Silver.</t>
        </is>
      </c>
      <c r="H5" s="9" t="inlineStr">
        <is>
          <t>Ambiguity and unorderable version are quarantined with reason codes.</t>
        </is>
      </c>
      <c r="I5" s="9" t="inlineStr">
        <is>
          <t>Fixtures cover valid correction, exact duplicate, conflicting tie, invalid latest version, and lower version.</t>
        </is>
      </c>
      <c r="J5" s="9" t="inlineStr">
        <is>
          <t>silver/process_trades.py; silver/trades_rejects</t>
        </is>
      </c>
      <c r="K5" s="9" t="inlineStr">
        <is>
          <t>IMPLEMENTED</t>
        </is>
      </c>
      <c r="L5" s="9" t="inlineStr">
        <is>
          <t>TMP-015; TMP-012</t>
        </is>
      </c>
    </row>
    <row r="6" ht="34" customHeight="1">
      <c r="A6" s="8" t="inlineStr">
        <is>
          <t>FR-005</t>
        </is>
      </c>
      <c r="B6" s="8" t="inlineStr">
        <is>
          <t>BR-007</t>
        </is>
      </c>
      <c r="C6" s="8" t="inlineStr">
        <is>
          <t>Apply trade and price data-quality rules and retain actionable rejects.</t>
        </is>
      </c>
      <c r="D6" s="8" t="inlineStr">
        <is>
          <t>Raw trade and price records</t>
        </is>
      </c>
      <c r="E6" s="8" t="inlineStr">
        <is>
          <t>Validate identifiers, mapping, side/quantity, positive prices, currency, dates/calendar, settlement, version, and price key uniqueness.</t>
        </is>
      </c>
      <c r="F6" s="8" t="inlineStr">
        <is>
          <t>Silver accepted datasets, rejects with reason(s), valuation breaks</t>
        </is>
      </c>
      <c r="G6" s="8" t="inlineStr">
        <is>
          <t>BUY is positive and SELL is negative; only USD and configured instruments are supported.</t>
        </is>
      </c>
      <c r="H6" s="8" t="inlineStr">
        <is>
          <t>Reject invalid rows; fail task where missing expected prices make the requested output incomplete.</t>
        </is>
      </c>
      <c r="I6" s="8" t="inlineStr">
        <is>
          <t>Each configured invalid fixture maps to expected reason(s); reject merge is idempotent.</t>
        </is>
      </c>
      <c r="J6" s="8" t="inlineStr">
        <is>
          <t>Silver processors; common/rejects.py; gold/break_report.py</t>
        </is>
      </c>
      <c r="K6" s="8" t="inlineStr">
        <is>
          <t>IMPLEMENTED</t>
        </is>
      </c>
      <c r="L6" s="8" t="inlineStr">
        <is>
          <t>TMP-015; TMP-016</t>
        </is>
      </c>
    </row>
    <row r="7" ht="34" customHeight="1">
      <c r="A7" s="9" t="inlineStr">
        <is>
          <t>FR-006</t>
        </is>
      </c>
      <c r="B7" s="9" t="inlineStr">
        <is>
          <t>BR-004</t>
        </is>
      </c>
      <c r="C7" s="9" t="inlineStr">
        <is>
          <t>Calculate daily and cumulative signed positions at the defined Gold grain.</t>
        </is>
      </c>
      <c r="D7" s="9" t="inlineStr">
        <is>
          <t>Silver accepted trades</t>
        </is>
      </c>
      <c r="E7" s="9" t="inlineStr">
        <is>
          <t>Aggregate daily buy/sell/net then cumulative SUM(quantity) over trading sessions by book/counterparty/instrument/currency.</t>
        </is>
      </c>
      <c r="F7" s="9" t="inlineStr">
        <is>
          <t>cibc.gold.positions</t>
        </is>
      </c>
      <c r="G7" s="9" t="inlineStr">
        <is>
          <t>Position key is valuation_date + book_id + counterparty_id + instrument_id + currency; short quantities are allowed.</t>
        </is>
      </c>
      <c r="H7" s="9" t="inlineStr">
        <is>
          <t>Empty sources or duplicate price keys fail without publishing; source-scoped merge reconciles history.</t>
        </is>
      </c>
      <c r="I7" s="9" t="inlineStr">
        <is>
          <t>Daily/cumulative quantities match independent aggregation including no-trade days and short/flat positions.</t>
        </is>
      </c>
      <c r="J7" s="9" t="inlineStr">
        <is>
          <t>gold/build_positions.py; gold/positions</t>
        </is>
      </c>
      <c r="K7" s="9" t="inlineStr">
        <is>
          <t>IMPLEMENTED</t>
        </is>
      </c>
      <c r="L7" s="9" t="inlineStr">
        <is>
          <t>TMP-017</t>
        </is>
      </c>
    </row>
    <row r="8" ht="34" customHeight="1">
      <c r="A8" s="8" t="inlineStr">
        <is>
          <t>FR-007</t>
        </is>
      </c>
      <c r="B8" s="8" t="inlineStr">
        <is>
          <t>BR-005</t>
        </is>
      </c>
      <c r="C8" s="8" t="inlineStr">
        <is>
          <t>Value positions using same-day close in the same currency.</t>
        </is>
      </c>
      <c r="D8" s="8" t="inlineStr">
        <is>
          <t>Gold positions; Silver prices</t>
        </is>
      </c>
      <c r="E8" s="8" t="inlineStr">
        <is>
          <t>market_value = closing_position_quantity * closing_price at exact valuation date and currency.</t>
        </is>
      </c>
      <c r="F8" s="8" t="inlineStr">
        <is>
          <t>Gold position closing_price and market_value; missing-price break</t>
        </is>
      </c>
      <c r="G8" s="8" t="inlineStr">
        <is>
          <t>Missing close remains NULL; quantities are unaffected; a flat/no-activity position does not require a mark.</t>
        </is>
      </c>
      <c r="H8" s="8" t="inlineStr">
        <is>
          <t>Missing non-flat position marks create OPEN valuation breaks.</t>
        </is>
      </c>
      <c r="I8" s="8" t="inlineStr">
        <is>
          <t>Valuation matches independent Decimal calculation; missing close produces NULL and a break.</t>
        </is>
      </c>
      <c r="J8" s="8" t="inlineStr">
        <is>
          <t>gold/build_positions.py; gold/valuation_breaks</t>
        </is>
      </c>
      <c r="K8" s="8" t="inlineStr">
        <is>
          <t>IMPLEMENTED</t>
        </is>
      </c>
      <c r="L8" s="8" t="inlineStr">
        <is>
          <t>TMP-017</t>
        </is>
      </c>
    </row>
    <row r="9" ht="34" customHeight="1">
      <c r="A9" s="9" t="inlineStr">
        <is>
          <t>FR-008</t>
        </is>
      </c>
      <c r="B9" s="9" t="inlineStr">
        <is>
          <t>BR-005</t>
        </is>
      </c>
      <c r="C9" s="9" t="inlineStr">
        <is>
          <t>Calculate daily equity P&amp;L separating opening-position price movement from trade-day economics.</t>
        </is>
      </c>
      <c r="D9" s="9" t="inlineStr">
        <is>
          <t>Gold positions; Silver trades; Silver price history</t>
        </is>
      </c>
      <c r="E9" s="9" t="inlineStr">
        <is>
          <t>OpeningQty*(CurrentClose-PreviousClose) + (DailyNetQty*CurrentClose - SignedTradeConsideration); new positions with zero opening quantity use trade-day term only.</t>
        </is>
      </c>
      <c r="F9" s="9" t="inlineStr">
        <is>
          <t>cibc.gold.daily_pnl with status and valuation inputs</t>
        </is>
      </c>
      <c r="G9" s="9" t="inlineStr">
        <is>
          <t>Latest prior close is the previous baseline; current close is exact date. Missing required current/baseline price leaves daily_pnl NULL.</t>
        </is>
      </c>
      <c r="H9" s="9" t="inlineStr">
        <is>
          <t>Create missing-current-price or missing-baseline break; never treat NULL as zero.</t>
        </is>
      </c>
      <c r="I9" s="9" t="inlineStr">
        <is>
          <t>Independent test examples match; activity quantity changes do not create false opening-position P&amp;L.</t>
        </is>
      </c>
      <c r="J9" s="9" t="inlineStr">
        <is>
          <t>gold/calculate_daily_pnl.py; gold/daily_pnl</t>
        </is>
      </c>
      <c r="K9" s="9" t="inlineStr">
        <is>
          <t>IMPLEMENTED</t>
        </is>
      </c>
      <c r="L9" s="9" t="inlineStr">
        <is>
          <t>TMP-018</t>
        </is>
      </c>
    </row>
    <row r="10" ht="34" customHeight="1">
      <c r="A10" s="8" t="inlineStr">
        <is>
          <t>FR-009</t>
        </is>
      </c>
      <c r="B10" s="8" t="inlineStr">
        <is>
          <t>BR-003</t>
        </is>
      </c>
      <c r="C10" s="8" t="inlineStr">
        <is>
          <t>Retain historical accepted prices, reject history, audit/break history, and recompute affected Gold history after corrections.</t>
        </is>
      </c>
      <c r="D10" s="8" t="inlineStr">
        <is>
          <t>Full Silver history and correction snapshot</t>
        </is>
      </c>
      <c r="E10" s="8" t="inlineStr">
        <is>
          <t>Prices/rejects MERGE by business key; Gold recomputes full Silver history; changed business values update scoped Gold rows.</t>
        </is>
      </c>
      <c r="F10" s="8" t="inlineStr">
        <is>
          <t>Historical Silver/Gold datasets and lineage</t>
        </is>
      </c>
      <c r="G10" s="8" t="inlineStr">
        <is>
          <t>Bronze trades is only the latest snapshot; disappeared IDs are not purged from Silver; Gold delete scope cannot remove absent instruments/symbols.</t>
        </is>
      </c>
      <c r="H10" s="8" t="inlineStr">
        <is>
          <t>Require reconciliation and manual remediation for missing historical scope; expose limitations.</t>
        </is>
      </c>
      <c r="I10" s="8" t="inlineStr">
        <is>
          <t>Backdated correction updates affected dates; retention and deletion semantics are documented before production.</t>
        </is>
      </c>
      <c r="J10" s="8" t="inlineStr">
        <is>
          <t>Bronze/Silver/Gold Delta tables; Delta history</t>
        </is>
      </c>
      <c r="K10" s="8" t="inlineStr">
        <is>
          <t>PARTIALLY IMPLEMENTED</t>
        </is>
      </c>
      <c r="L10" s="8" t="inlineStr">
        <is>
          <t>TMP-012; TMP-017; TMP-018</t>
        </is>
      </c>
    </row>
    <row r="11" ht="34" customHeight="1">
      <c r="A11" s="9" t="inlineStr">
        <is>
          <t>FR-010</t>
        </is>
      </c>
      <c r="B11" s="9" t="inlineStr">
        <is>
          <t>BR-006</t>
        </is>
      </c>
      <c r="C11" s="9" t="inlineStr">
        <is>
          <t>Provide read-only operational and business reporting over run logs, rejects, positions, P&amp;L, and breaks.</t>
        </is>
      </c>
      <c r="D11" s="9" t="inlineStr">
        <is>
          <t>Gold/Silver Delta tables and Jobs API</t>
        </is>
      </c>
      <c r="E11" s="9" t="inlineStr">
        <is>
          <t>Existing notebook report and demo SQL show status, metrics, rejects, positions, P&amp;L, breaks; proposed dashboard consumes curated Gold.</t>
        </is>
      </c>
      <c r="F11" s="9" t="inlineStr">
        <is>
          <t>Notebook/SQL reporting now; dashboard dataset/view and dashboard proposed</t>
        </is>
      </c>
      <c r="G11" s="9" t="inlineStr">
        <is>
          <t>Do not claim Databricks SQL dashboard exists; current report is notebook-based.</t>
        </is>
      </c>
      <c r="H11" s="9" t="inlineStr">
        <is>
          <t>Report shows NOT AVAILABLE when audit/API data is absent rather than inventing metrics.</t>
        </is>
      </c>
      <c r="I11" s="9" t="inlineStr">
        <is>
          <t>Users reconcile report totals to tables; dashboard acceptance criteria and audience approved before build.</t>
        </is>
      </c>
      <c r="J11" s="9" t="inlineStr">
        <is>
          <t>notebooks/02_pipeline_report.py; docs/demo_queries.sql; proposed dashboard</t>
        </is>
      </c>
      <c r="K11" s="9" t="inlineStr">
        <is>
          <t>PARTIALLY IMPLEMENTED</t>
        </is>
      </c>
      <c r="L11" s="9" t="inlineStr">
        <is>
          <t>TMP-019; TMP-020</t>
        </is>
      </c>
    </row>
    <row r="12" ht="34" customHeight="1">
      <c r="A12" s="8" t="inlineStr">
        <is>
          <t>FR-011</t>
        </is>
      </c>
      <c r="B12" s="8" t="inlineStr">
        <is>
          <t>BR-007</t>
        </is>
      </c>
      <c r="C12" s="8" t="inlineStr">
        <is>
          <t>Audit each task attempt with run/task identity, timing, status, counts, issues, and error details.</t>
        </is>
      </c>
      <c r="D12" s="8" t="inlineStr">
        <is>
          <t>Databricks job/task context and module metrics</t>
        </is>
      </c>
      <c r="E12" s="8" t="inlineStr">
        <is>
          <t>MERGE STARTED, metrics, SUCCESS/FAILED by run_id + task_run_id.</t>
        </is>
      </c>
      <c r="F12" s="8" t="inlineStr">
        <is>
          <t>cibc.gold.pipeline_run_log; valuation_breaks; Silver reject tables</t>
        </is>
      </c>
      <c r="G12" s="8" t="inlineStr">
        <is>
          <t>Audit persistence failure fails the task; audit currently omits insert/update/delete/rejects_written counters.</t>
        </is>
      </c>
      <c r="H12" s="8" t="inlineStr">
        <is>
          <t>Capture exception type/message; if audit write itself fails log secondary exception.</t>
        </is>
      </c>
      <c r="I12" s="8" t="inlineStr">
        <is>
          <t>Success and failure paths produce expected audit record; sensitive exception content reviewed before prod.</t>
        </is>
      </c>
      <c r="J12" s="8" t="inlineStr">
        <is>
          <t>trade_pipeline/audit.py; break_report.py; report notebook</t>
        </is>
      </c>
      <c r="K12" s="8" t="inlineStr">
        <is>
          <t>PARTIALLY IMPLEMENTED</t>
        </is>
      </c>
      <c r="L12" s="8" t="inlineStr">
        <is>
          <t>TMP-019; TMP-024</t>
        </is>
      </c>
    </row>
    <row r="13" ht="34" customHeight="1">
      <c r="A13" s="9" t="inlineStr">
        <is>
          <t>FR-012</t>
        </is>
      </c>
      <c r="B13" s="9" t="inlineStr">
        <is>
          <t>BR-008</t>
        </is>
      </c>
      <c r="C13" s="9" t="inlineStr">
        <is>
          <t>Orchestrate six parameterized tasks with parallel source branches and dependency joins.</t>
        </is>
      </c>
      <c r="D13" s="9" t="inlineStr">
        <is>
          <t>Databricks Job parameters</t>
        </is>
      </c>
      <c r="E13" s="9" t="inlineStr">
        <is>
          <t>ingest_prices→process_prices and ingest_trades→process_trades run independently; build_positions joins both; calculate_daily_pnl follows.</t>
        </is>
      </c>
      <c r="F13" s="9" t="inlineStr">
        <is>
          <t>Databricks Workflow run</t>
        </is>
      </c>
      <c r="G13" s="9" t="inlineStr">
        <is>
          <t>max_concurrent_runs=1; weekday 18:00 America/New_York schedule is PAUSED; dev target only.</t>
        </is>
      </c>
      <c r="H13" s="9" t="inlineStr">
        <is>
          <t>Workflow task failure blocks downstream; rerun through Jobs/CLI/notebook after investigation.</t>
        </is>
      </c>
      <c r="I13" s="9" t="inlineStr">
        <is>
          <t>Bundle validation and a successful manual run confirm all six task dependencies and parameters.</t>
        </is>
      </c>
      <c r="J13" s="9" t="inlineStr">
        <is>
          <t>jobs/resources/trade_pipeline.job.yml; databricks.yml; notebooks/01_run_pipeline.py</t>
        </is>
      </c>
      <c r="K13" s="9" t="inlineStr">
        <is>
          <t>PARTIALLY IMPLEMENTED</t>
        </is>
      </c>
      <c r="L13" s="9" t="inlineStr">
        <is>
          <t>TMP-009; TMP-010; TMP-023</t>
        </is>
      </c>
    </row>
    <row r="14" ht="34" customHeight="1">
      <c r="A14" s="8" t="inlineStr">
        <is>
          <t>FR-013</t>
        </is>
      </c>
      <c r="B14" s="8" t="inlineStr">
        <is>
          <t>BR-008</t>
        </is>
      </c>
      <c r="C14" s="8" t="inlineStr">
        <is>
          <t>Make reruns deterministic and recoverable for a fixed source snapshot and date range.</t>
        </is>
      </c>
      <c r="D14" s="8" t="inlineStr">
        <is>
          <t>Same trade snapshot, ticker/date request, run parameters</t>
        </is>
      </c>
      <c r="E14" s="8" t="inlineStr">
        <is>
          <t>Trade Bronze overwrite; price/Silver/Gold conditional MERGEs; reject/break writes are idempotent per identity/run.</t>
        </is>
      </c>
      <c r="F14" s="8" t="inlineStr">
        <is>
          <t>Stable business keys/values and separate run audit history</t>
        </is>
      </c>
      <c r="G14" s="8" t="inlineStr">
        <is>
          <t>A retry gets task attempt identity; full-history recompute is used; no partial input may delete outside source scope.</t>
        </is>
      </c>
      <c r="H14" s="8" t="inlineStr">
        <is>
          <t>Fail-fast at bad input; inspect audit/reject/breaks, repair source, rerun; exact operational recovery time TBD.</t>
        </is>
      </c>
      <c r="I14" s="8" t="inlineStr">
        <is>
          <t>Two complete identical end-to-end runs preserve business output and business keys; audit history records both.</t>
        </is>
      </c>
      <c r="J14" s="8" t="inlineStr">
        <is>
          <t>Ingestion/processing modules; Databricks Workflow; audit</t>
        </is>
      </c>
      <c r="K14" s="8" t="inlineStr">
        <is>
          <t>PARTIALLY IMPLEMENTED</t>
        </is>
      </c>
      <c r="L14" s="8" t="inlineStr">
        <is>
          <t>TMP-016; TMP-022; TMP-024</t>
        </is>
      </c>
    </row>
  </sheetData>
  <autoFilter ref="A1:L14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8" customWidth="1" min="3" max="3"/>
    <col width="24" customWidth="1" min="4" max="4"/>
    <col width="54" customWidth="1" min="5" max="5"/>
  </cols>
  <sheetData>
    <row r="1" ht="34" customHeight="1">
      <c r="A1" s="7" t="inlineStr">
        <is>
          <t>NFR ID</t>
        </is>
      </c>
      <c r="B1" s="7" t="inlineStr">
        <is>
          <t>Quality attribute</t>
        </is>
      </c>
      <c r="C1" s="7" t="inlineStr">
        <is>
          <t>Acceptance target</t>
        </is>
      </c>
      <c r="D1" s="7" t="inlineStr">
        <is>
          <t>Status</t>
        </is>
      </c>
      <c r="E1" s="7" t="inlineStr">
        <is>
          <t>Evidence / gap</t>
        </is>
      </c>
    </row>
    <row r="2" ht="34" customHeight="1">
      <c r="A2" s="8" t="inlineStr">
        <is>
          <t>NFR-01</t>
        </is>
      </c>
      <c r="B2" s="8" t="inlineStr">
        <is>
          <t>Performance</t>
        </is>
      </c>
      <c r="C2" s="8" t="inlineStr">
        <is>
          <t>PROPOSED: process the documented 1,200-trade / 10-symbol demonstration workload within 15 minutes end-to-end, excluding provider outages.</t>
        </is>
      </c>
      <c r="D2" s="8" t="inlineStr">
        <is>
          <t>TO BE CONFIRMED</t>
        </is>
      </c>
      <c r="E2" s="8" t="inlineStr">
        <is>
          <t>No measured run duration/SLA recorded in docs/test_results.md.</t>
        </is>
      </c>
    </row>
    <row r="3" ht="34" customHeight="1">
      <c r="A3" s="9" t="inlineStr">
        <is>
          <t>NFR-02</t>
        </is>
      </c>
      <c r="B3" s="9" t="inlineStr">
        <is>
          <t>Reliability</t>
        </is>
      </c>
      <c r="C3" s="9" t="inlineStr">
        <is>
          <t>PROPOSED: &gt;=99% successful scheduled runs per calendar month after production support and alerting are established.</t>
        </is>
      </c>
      <c r="D3" s="9" t="inlineStr">
        <is>
          <t>TO BE CONFIRMED</t>
        </is>
      </c>
      <c r="E3" s="9" t="inlineStr">
        <is>
          <t>Only a dev job is configured; schedule paused.</t>
        </is>
      </c>
    </row>
    <row r="4" ht="34" customHeight="1">
      <c r="A4" s="8" t="inlineStr">
        <is>
          <t>NFR-03</t>
        </is>
      </c>
      <c r="B4" s="8" t="inlineStr">
        <is>
          <t>Idempotency</t>
        </is>
      </c>
      <c r="C4" s="8" t="inlineStr">
        <is>
          <t>PROPOSED: two runs over identical inputs produce identical business keys and financial values; only run-level audit/break history may grow.</t>
        </is>
      </c>
      <c r="D4" s="8" t="inlineStr">
        <is>
          <t>PARTIALLY IMPLEMENTED</t>
        </is>
      </c>
      <c r="E4" s="8" t="inlineStr">
        <is>
          <t>Unit tests cover scoped writes; documented second Databricks run was queued, not verified.</t>
        </is>
      </c>
    </row>
    <row r="5" ht="34" customHeight="1">
      <c r="A5" s="9" t="inlineStr">
        <is>
          <t>NFR-04</t>
        </is>
      </c>
      <c r="B5" s="9" t="inlineStr">
        <is>
          <t>Security</t>
        </is>
      </c>
      <c r="C5" s="9" t="inlineStr">
        <is>
          <t>PROPOSED: job service principal has least privilege on cibc schemas and input Volume; secrets never stored in source control; access reviewed before non-dev deploy.</t>
        </is>
      </c>
      <c r="D5" s="9" t="inlineStr">
        <is>
          <t>TO BE CONFIRMED</t>
        </is>
      </c>
      <c r="E5" s="9" t="inlineStr">
        <is>
          <t>Grant template exists; principal/environment are placeholders.</t>
        </is>
      </c>
    </row>
    <row r="6" ht="34" customHeight="1">
      <c r="A6" s="8" t="inlineStr">
        <is>
          <t>NFR-05</t>
        </is>
      </c>
      <c r="B6" s="8" t="inlineStr">
        <is>
          <t>Maintainability</t>
        </is>
      </c>
      <c r="C6" s="8" t="inlineStr">
        <is>
          <t>PROPOSED: source modules remain separated by Bronze/Silver/Gold; new business rules have unit tests and documented owners.</t>
        </is>
      </c>
      <c r="D6" s="8" t="inlineStr">
        <is>
          <t>PARTIALLY IMPLEMENTED</t>
        </is>
      </c>
      <c r="E6" s="8" t="inlineStr">
        <is>
          <t>Layered Python package and tests exist; CI/ownership not evidenced.</t>
        </is>
      </c>
    </row>
    <row r="7" ht="34" customHeight="1">
      <c r="A7" s="9" t="inlineStr">
        <is>
          <t>NFR-06</t>
        </is>
      </c>
      <c r="B7" s="9" t="inlineStr">
        <is>
          <t>Testability</t>
        </is>
      </c>
      <c r="C7" s="9" t="inlineStr">
        <is>
          <t>PROPOSED: deterministic unit tests for rules; Spark integration tests for MERGE/Delta behavior; UAT evidence for financial outputs.</t>
        </is>
      </c>
      <c r="D7" s="9" t="inlineStr">
        <is>
          <t>PARTIALLY IMPLEMENTED</t>
        </is>
      </c>
      <c r="E7" s="9" t="inlineStr">
        <is>
          <t>pytest tests exist; PySpark/Java/Delta runtime availability is not confirmed locally.</t>
        </is>
      </c>
    </row>
    <row r="8" ht="34" customHeight="1">
      <c r="A8" s="8" t="inlineStr">
        <is>
          <t>NFR-07</t>
        </is>
      </c>
      <c r="B8" s="8" t="inlineStr">
        <is>
          <t>Scalability</t>
        </is>
      </c>
      <c r="C8" s="8" t="inlineStr">
        <is>
          <t>PROPOSED: benchmark 100,000 trades and 50 symbols; confirm runtime and compute cost before adopting an incremental design.</t>
        </is>
      </c>
      <c r="D8" s="8" t="inlineStr">
        <is>
          <t>TO BE CONFIRMED</t>
        </is>
      </c>
      <c r="E8" s="8" t="inlineStr">
        <is>
          <t>Full-history recompute is documented as a prototype limitation; no benchmark.</t>
        </is>
      </c>
    </row>
    <row r="9" ht="34" customHeight="1">
      <c r="A9" s="9" t="inlineStr">
        <is>
          <t>NFR-08</t>
        </is>
      </c>
      <c r="B9" s="9" t="inlineStr">
        <is>
          <t>Observability</t>
        </is>
      </c>
      <c r="C9" s="9" t="inlineStr">
        <is>
          <t>PROPOSED: detect failed run and notify support within 5 minutes; audit every task attempt; reconcile expected task count.</t>
        </is>
      </c>
      <c r="D9" s="9" t="inlineStr">
        <is>
          <t>PARTIALLY IMPLEMENTED</t>
        </is>
      </c>
      <c r="E9" s="9" t="inlineStr">
        <is>
          <t>Delta audit/reject/break data and report notebook; no automated alerting.</t>
        </is>
      </c>
    </row>
    <row r="10" ht="34" customHeight="1">
      <c r="A10" s="8" t="inlineStr">
        <is>
          <t>NFR-09</t>
        </is>
      </c>
      <c r="B10" s="8" t="inlineStr">
        <is>
          <t>Deployability</t>
        </is>
      </c>
      <c r="C10" s="8" t="inlineStr">
        <is>
          <t>PROPOSED: repeatable Bundle validate/deploy in isolated dev/test/prod targets with reviewable configuration and smoke test.</t>
        </is>
      </c>
      <c r="D10" s="8" t="inlineStr">
        <is>
          <t>PARTIALLY IMPLEMENTED</t>
        </is>
      </c>
      <c r="E10" s="8" t="inlineStr">
        <is>
          <t>Databricks Asset Bundle has dev target and deploy script; no CI or non-dev target.</t>
        </is>
      </c>
    </row>
    <row r="11" ht="34" customHeight="1">
      <c r="A11" s="9" t="inlineStr">
        <is>
          <t>NFR-10</t>
        </is>
      </c>
      <c r="B11" s="9" t="inlineStr">
        <is>
          <t>Retention and recovery</t>
        </is>
      </c>
      <c r="C11" s="9" t="inlineStr">
        <is>
          <t>TBD by data owner: approve retention, RTO, RPO, and source replay window before production. No numeric policy is assumed.</t>
        </is>
      </c>
      <c r="D11" s="9" t="inlineStr">
        <is>
          <t>TO BE CONFIRMED</t>
        </is>
      </c>
      <c r="E11" s="9" t="inlineStr">
        <is>
          <t>Not specified in repository.</t>
        </is>
      </c>
    </row>
  </sheetData>
  <autoFilter ref="A1:E1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46" customWidth="1" min="4" max="4"/>
    <col width="40" customWidth="1" min="5" max="5"/>
    <col width="50" customWidth="1" min="6" max="6"/>
    <col width="38" customWidth="1" min="7" max="7"/>
    <col width="34" customWidth="1" min="8" max="8"/>
    <col width="40" customWidth="1" min="9" max="9"/>
    <col width="48" customWidth="1" min="10" max="10"/>
    <col width="58" customWidth="1" min="11" max="11"/>
    <col width="50" customWidth="1" min="12" max="12"/>
    <col width="48" customWidth="1" min="13" max="13"/>
    <col width="72" customWidth="1" min="14" max="14"/>
  </cols>
  <sheetData>
    <row r="1" ht="34" customHeight="1">
      <c r="A1" s="7" t="inlineStr">
        <is>
          <t>Source ID</t>
        </is>
      </c>
      <c r="B1" s="7" t="inlineStr">
        <is>
          <t>Source</t>
        </is>
      </c>
      <c r="C1" s="7" t="inlineStr">
        <is>
          <t>Status</t>
        </is>
      </c>
      <c r="D1" s="7" t="inlineStr">
        <is>
          <t>System/provider</t>
        </is>
      </c>
      <c r="E1" s="7" t="inlineStr">
        <is>
          <t>Format/interface</t>
        </is>
      </c>
      <c r="F1" s="7" t="inlineStr">
        <is>
          <t>Location</t>
        </is>
      </c>
      <c r="G1" s="7" t="inlineStr">
        <is>
          <t>Frequency</t>
        </is>
      </c>
      <c r="H1" s="7" t="inlineStr">
        <is>
          <t>Volume</t>
        </is>
      </c>
      <c r="I1" s="7" t="inlineStr">
        <is>
          <t>Business key</t>
        </is>
      </c>
      <c r="J1" s="7" t="inlineStr">
        <is>
          <t>Version/correction</t>
        </is>
      </c>
      <c r="K1" s="7" t="inlineStr">
        <is>
          <t>Quality rules</t>
        </is>
      </c>
      <c r="L1" s="7" t="inlineStr">
        <is>
          <t>Ingestion strategy</t>
        </is>
      </c>
      <c r="M1" s="7" t="inlineStr">
        <is>
          <t>Failure handling</t>
        </is>
      </c>
      <c r="N1" s="7" t="inlineStr">
        <is>
          <t>Open decisions</t>
        </is>
      </c>
    </row>
    <row r="2" ht="34" customHeight="1">
      <c r="A2" s="8" t="inlineStr">
        <is>
          <t>SRC-TRADE</t>
        </is>
      </c>
      <c r="B2" s="8" t="inlineStr">
        <is>
          <t>Trade transactions</t>
        </is>
      </c>
      <c r="C2" s="8" t="inlineStr">
        <is>
          <t>IMPLEMENTED (synthetic prototype source)</t>
        </is>
      </c>
      <c r="D2" s="8" t="inlineStr">
        <is>
          <t>scripts/generate_trades.py; no upstream trade system integration evidenced</t>
        </is>
      </c>
      <c r="E2" s="8" t="inlineStr">
        <is>
          <t>CSV, 14 named columns; raw values landed as STRING</t>
        </is>
      </c>
      <c r="F2" s="8" t="inlineStr">
        <is>
          <t>Local data/dirty_trades.csv then /Volumes/cibc/bronze/trade_files/dirty_trades.csv</t>
        </is>
      </c>
      <c r="G2" s="8" t="inlineStr">
        <is>
          <t>Full snapshot per Job run; weekday schedule configured but paused; file delivery SLA TBD</t>
        </is>
      </c>
      <c r="H2" s="8" t="inlineStr">
        <is>
          <t>Checked-in sample has 1,200 generated rows per docs/test_results.md; production volumes TBD</t>
        </is>
      </c>
      <c r="I2" s="8" t="inlineStr">
        <is>
          <t>trade_id is logical entity; version + modified_timestamp select the latest; Bronze has no enforced PK</t>
        </is>
      </c>
      <c r="J2" s="8" t="inlineStr">
        <is>
          <t>Highest version, then latest modified_timestamp; invalid/ambiguous latest is not replaced by older version</t>
        </is>
      </c>
      <c r="K2" s="8" t="inlineStr">
        <is>
          <t>Nonblank IDs; configured instrument/symbol match; BUY/SELL; nonzero quantity; positive price; USD; valid timestamps/dates; supported NYSE session; settlement next session; version &gt; 0</t>
        </is>
      </c>
      <c r="L2" s="8" t="inlineStr">
        <is>
          <t>Validate exact header/nonempty/structure; dedupe identical in-batch rows; INSERT OVERWRITE Bronze snapshot</t>
        </is>
      </c>
      <c r="M2" s="8" t="inlineStr">
        <is>
          <t>Fail before overwrite; audit failure; Silver quarantines business-invalid rows</t>
        </is>
      </c>
      <c r="N2" s="8" t="inlineStr">
        <is>
          <t>Real source owner, legal entity/system, delivery format contract, completeness watermark, file naming, correction/deletion semantics, volume/SLA, retention and access classification.</t>
        </is>
      </c>
    </row>
    <row r="3" ht="34" customHeight="1">
      <c r="A3" s="9" t="inlineStr">
        <is>
          <t>SRC-PRICE</t>
        </is>
      </c>
      <c r="B3" s="9" t="inlineStr">
        <is>
          <t>Daily market prices</t>
        </is>
      </c>
      <c r="C3" s="9" t="inlineStr">
        <is>
          <t>IMPLEMENTED (prototype provider; not approved for banking production)</t>
        </is>
      </c>
      <c r="D3" s="9" t="inlineStr">
        <is>
          <t>Yahoo Finance via yfinance.download; provider rights/approval unverified</t>
        </is>
      </c>
      <c r="E3" s="9" t="inlineStr">
        <is>
          <t>Python provider response normalized to symbol, price_date, close, currency</t>
        </is>
      </c>
      <c r="F3" s="9" t="inlineStr">
        <is>
          <t>Provider response to cibc.bronze.market_prices Delta</t>
        </is>
      </c>
      <c r="G3" s="9" t="inlineStr">
        <is>
          <t>Daily interval; seven-day default lookback; schedule is paused</t>
        </is>
      </c>
      <c r="H3" s="9" t="inlineStr">
        <is>
          <t>10 hard-coded default tickers; volume/limits and broader universe TBD</t>
        </is>
      </c>
      <c r="I3" s="9" t="inlineStr">
        <is>
          <t>symbol + price_date (logical business key)</t>
        </is>
      </c>
      <c r="J3" s="9" t="inlineStr">
        <is>
          <t>Latest ingestion_timestamp then run_id; conflicting tied payloads rejected</t>
        </is>
      </c>
      <c r="K3" s="9" t="inlineStr">
        <is>
          <t>Expected NYSE sessions; non-future date; finite positive close; USD; unique symbol/date; completeness required</t>
        </is>
      </c>
      <c r="L3" s="9" t="inlineStr">
        <is>
          <t>Retry up to three attempts; unadjusted Close; Bronze conditional MERGE</t>
        </is>
      </c>
      <c r="M3" s="9" t="inlineStr">
        <is>
          <t>No data/omitted symbol/expected missing session fails; no stale close substituted for position valuation</t>
        </is>
      </c>
      <c r="N3" s="9" t="inlineStr">
        <is>
          <t>Market-data owner/provider approval and license, adjustment/close definition, correction policy, availability SLA, symbol mapping, market calendar and missing-data escalation.</t>
        </is>
      </c>
    </row>
    <row r="4" ht="34" customHeight="1">
      <c r="A4" s="8" t="inlineStr">
        <is>
          <t>SRC-REF</t>
        </is>
      </c>
      <c r="B4" s="8" t="inlineStr">
        <is>
          <t>Minimal reference data</t>
        </is>
      </c>
      <c r="C4" s="8" t="inlineStr">
        <is>
          <t>PARTIALLY IMPLEMENTED (in-code mappings only)</t>
        </is>
      </c>
      <c r="D4" s="8" t="inlineStr">
        <is>
          <t>trade_pipeline/config.py INSTRUMENT_ID_TO_SYMBOL; books/counterparties arrive as input strings</t>
        </is>
      </c>
      <c r="E4" s="8" t="inlineStr">
        <is>
          <t>Python dictionary and input attributes; no reference Delta tables</t>
        </is>
      </c>
      <c r="F4" s="8" t="inlineStr">
        <is>
          <t>Code configuration; no independent reference-data store</t>
        </is>
      </c>
      <c r="G4" s="8" t="inlineStr">
        <is>
          <t>Release-time mapping update; business owner/update cadence TBD</t>
        </is>
      </c>
      <c r="H4" s="8" t="inlineStr">
        <is>
          <t>10 configured instrument-symbol pairs; book/counterparty cardinalities unknown</t>
        </is>
      </c>
      <c r="I4" s="8" t="inlineStr">
        <is>
          <t>instrument_id; symbol mapping; book_id and counterparty_id are opaque strings</t>
        </is>
      </c>
      <c r="J4" s="8" t="inlineStr">
        <is>
          <t>No effective-dated reference history</t>
        </is>
      </c>
      <c r="K4" s="8" t="inlineStr">
        <is>
          <t>Configured instrument/symbol match; book/counterparty nonblank; USD-only currency</t>
        </is>
      </c>
      <c r="L4" s="8" t="inlineStr">
        <is>
          <t>No separate pipeline; Silver validates against configured mapping</t>
        </is>
      </c>
      <c r="M4" s="8" t="inlineStr">
        <is>
          <t>Unknown/mismatched instrument is rejected</t>
        </is>
      </c>
      <c r="N4" s="8" t="inlineStr">
        <is>
          <t>Reference-data ownership, effective dating, books/counterparties validation, and need for persisted mappings must be confirmed.</t>
        </is>
      </c>
    </row>
  </sheetData>
  <autoFilter ref="A1:N4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34" customWidth="1" min="4" max="4"/>
    <col width="40" customWidth="1" min="5" max="5"/>
    <col width="56" customWidth="1" min="6" max="6"/>
    <col width="30" customWidth="1" min="7" max="7"/>
    <col width="30" customWidth="1" min="8" max="8"/>
    <col width="18" customWidth="1" min="9" max="9"/>
    <col width="12" customWidth="1" min="10" max="10"/>
    <col width="17" customWidth="1" min="11" max="11"/>
    <col width="44" customWidth="1" min="12" max="12"/>
    <col width="34" customWidth="1" min="13" max="13"/>
    <col width="50" customWidth="1" min="14" max="14"/>
    <col width="42" customWidth="1" min="15" max="15"/>
    <col width="40" customWidth="1" min="16" max="16"/>
    <col width="42" customWidth="1" min="17" max="17"/>
    <col width="50" customWidth="1" min="18" max="18"/>
  </cols>
  <sheetData>
    <row r="1" ht="34" customHeight="1">
      <c r="A1" s="7" t="inlineStr">
        <is>
          <t>Catalog</t>
        </is>
      </c>
      <c r="B1" s="7" t="inlineStr">
        <is>
          <t>Schema</t>
        </is>
      </c>
      <c r="C1" s="7" t="inlineStr">
        <is>
          <t>Table</t>
        </is>
      </c>
      <c r="D1" s="7" t="inlineStr">
        <is>
          <t>Table purpose</t>
        </is>
      </c>
      <c r="E1" s="7" t="inlineStr">
        <is>
          <t>Grain</t>
        </is>
      </c>
      <c r="F1" s="7" t="inlineStr">
        <is>
          <t>Business/unique key assumption</t>
        </is>
      </c>
      <c r="G1" s="7" t="inlineStr">
        <is>
          <t>Column</t>
        </is>
      </c>
      <c r="H1" s="7" t="inlineStr">
        <is>
          <t>Databricks SQL type</t>
        </is>
      </c>
      <c r="I1" s="7" t="inlineStr">
        <is>
          <t>Precision/scale</t>
        </is>
      </c>
      <c r="J1" s="7" t="inlineStr">
        <is>
          <t>Nullable</t>
        </is>
      </c>
      <c r="K1" s="7" t="inlineStr">
        <is>
          <t>Default</t>
        </is>
      </c>
      <c r="L1" s="7" t="inlineStr">
        <is>
          <t>Description</t>
        </is>
      </c>
      <c r="M1" s="7" t="inlineStr">
        <is>
          <t>Source field</t>
        </is>
      </c>
      <c r="N1" s="7" t="inlineStr">
        <is>
          <t>Transformation</t>
        </is>
      </c>
      <c r="O1" s="7" t="inlineStr">
        <is>
          <t>Data quality rule</t>
        </is>
      </c>
      <c r="P1" s="7" t="inlineStr">
        <is>
          <t>Storage strategy</t>
        </is>
      </c>
      <c r="Q1" s="7" t="inlineStr">
        <is>
          <t>Write semantics</t>
        </is>
      </c>
      <c r="R1" s="7" t="inlineStr">
        <is>
          <t>DDL file</t>
        </is>
      </c>
    </row>
    <row r="2" ht="34" customHeight="1">
      <c r="A2" s="8" t="inlineStr">
        <is>
          <t>cibc</t>
        </is>
      </c>
      <c r="B2" s="8" t="inlineStr">
        <is>
          <t>bronze</t>
        </is>
      </c>
      <c r="C2" s="8" t="inlineStr">
        <is>
          <t>market_prices</t>
        </is>
      </c>
      <c r="D2" s="8" t="inlineStr">
        <is>
          <t>Raw price records</t>
        </is>
      </c>
      <c r="E2" s="8" t="inlineStr">
        <is>
          <t>One symbol and price date</t>
        </is>
      </c>
      <c r="F2" s="8" t="inlineStr">
        <is>
          <t>Logical: symbol + price_date; no enforced constraint</t>
        </is>
      </c>
      <c r="G2" s="8" t="inlineStr">
        <is>
          <t>symbol</t>
        </is>
      </c>
      <c r="H2" s="8" t="inlineStr">
        <is>
          <t>STRING</t>
        </is>
      </c>
      <c r="I2" s="8" t="inlineStr">
        <is>
          <t>N/A</t>
        </is>
      </c>
      <c r="J2" s="8" t="inlineStr">
        <is>
          <t>Yes</t>
        </is>
      </c>
      <c r="K2" s="8" t="inlineStr">
        <is>
          <t>None declared</t>
        </is>
      </c>
      <c r="L2" s="8" t="inlineStr">
        <is>
          <t>Market ticker symbol</t>
        </is>
      </c>
      <c r="M2" s="8" t="inlineStr">
        <is>
          <t>CSV.symbol or configured instrument mapping</t>
        </is>
      </c>
      <c r="N2" s="8" t="inlineStr">
        <is>
          <t>Normalized/validated against instrument map</t>
        </is>
      </c>
      <c r="O2" s="8" t="inlineStr">
        <is>
          <t>Required; mapped and consistent</t>
        </is>
      </c>
      <c r="P2" s="8" t="inlineStr">
        <is>
          <t>No physical PK/partition/clustering</t>
        </is>
      </c>
      <c r="Q2" s="8" t="inlineStr">
        <is>
          <t>Conditional MERGE on symbol + price_date</t>
        </is>
      </c>
      <c r="R2" s="8" t="inlineStr">
        <is>
          <t>database/tables/bronze/market_prices.sql</t>
        </is>
      </c>
    </row>
    <row r="3" ht="34" customHeight="1">
      <c r="A3" s="9" t="inlineStr">
        <is>
          <t>cibc</t>
        </is>
      </c>
      <c r="B3" s="9" t="inlineStr">
        <is>
          <t>bronze</t>
        </is>
      </c>
      <c r="C3" s="9" t="inlineStr">
        <is>
          <t>market_prices</t>
        </is>
      </c>
      <c r="D3" s="9" t="inlineStr">
        <is>
          <t>Raw price records</t>
        </is>
      </c>
      <c r="E3" s="9" t="inlineStr">
        <is>
          <t>One symbol and price date</t>
        </is>
      </c>
      <c r="F3" s="9" t="inlineStr">
        <is>
          <t>Logical: symbol + price_date; no enforced constraint</t>
        </is>
      </c>
      <c r="G3" s="9" t="inlineStr">
        <is>
          <t>price_date</t>
        </is>
      </c>
      <c r="H3" s="9" t="inlineStr">
        <is>
          <t>STRING</t>
        </is>
      </c>
      <c r="I3" s="9" t="inlineStr">
        <is>
          <t>N/A</t>
        </is>
      </c>
      <c r="J3" s="9" t="inlineStr">
        <is>
          <t>Yes</t>
        </is>
      </c>
      <c r="K3" s="9" t="inlineStr">
        <is>
          <t>None declared</t>
        </is>
      </c>
      <c r="L3" s="9" t="inlineStr">
        <is>
          <t>Market price effective date</t>
        </is>
      </c>
      <c r="M3" s="9" t="inlineStr">
        <is>
          <t>Provider date</t>
        </is>
      </c>
      <c r="N3" s="9" t="inlineStr">
        <is>
          <t>try_cast to DATE</t>
        </is>
      </c>
      <c r="O3" s="9" t="inlineStr">
        <is>
          <t>Expected supported session; not future</t>
        </is>
      </c>
      <c r="P3" s="9" t="inlineStr">
        <is>
          <t>No physical PK/partition/clustering</t>
        </is>
      </c>
      <c r="Q3" s="9" t="inlineStr">
        <is>
          <t>Conditional MERGE on symbol + price_date</t>
        </is>
      </c>
      <c r="R3" s="9" t="inlineStr">
        <is>
          <t>database/tables/bronze/market_prices.sql</t>
        </is>
      </c>
    </row>
    <row r="4" ht="34" customHeight="1">
      <c r="A4" s="8" t="inlineStr">
        <is>
          <t>cibc</t>
        </is>
      </c>
      <c r="B4" s="8" t="inlineStr">
        <is>
          <t>bronze</t>
        </is>
      </c>
      <c r="C4" s="8" t="inlineStr">
        <is>
          <t>market_prices</t>
        </is>
      </c>
      <c r="D4" s="8" t="inlineStr">
        <is>
          <t>Raw price records</t>
        </is>
      </c>
      <c r="E4" s="8" t="inlineStr">
        <is>
          <t>One symbol and price date</t>
        </is>
      </c>
      <c r="F4" s="8" t="inlineStr">
        <is>
          <t>Logical: symbol + price_date; no enforced constraint</t>
        </is>
      </c>
      <c r="G4" s="8" t="inlineStr">
        <is>
          <t>close</t>
        </is>
      </c>
      <c r="H4" s="8" t="inlineStr">
        <is>
          <t>STRING</t>
        </is>
      </c>
      <c r="I4" s="8" t="inlineStr">
        <is>
          <t>N/A</t>
        </is>
      </c>
      <c r="J4" s="8" t="inlineStr">
        <is>
          <t>Yes</t>
        </is>
      </c>
      <c r="K4" s="8" t="inlineStr">
        <is>
          <t>None declared</t>
        </is>
      </c>
      <c r="L4" s="8" t="inlineStr">
        <is>
          <t>Unadjusted daily closing price</t>
        </is>
      </c>
      <c r="M4" s="8" t="inlineStr">
        <is>
          <t>Provider Close</t>
        </is>
      </c>
      <c r="N4" s="8" t="inlineStr">
        <is>
          <t>try_cast to DECIMAL(18,6)</t>
        </is>
      </c>
      <c r="O4" s="8" t="inlineStr">
        <is>
          <t>Required, finite, positive; currency USD</t>
        </is>
      </c>
      <c r="P4" s="8" t="inlineStr">
        <is>
          <t>No physical PK/partition/clustering</t>
        </is>
      </c>
      <c r="Q4" s="8" t="inlineStr">
        <is>
          <t>Conditional MERGE on symbol + price_date</t>
        </is>
      </c>
      <c r="R4" s="8" t="inlineStr">
        <is>
          <t>database/tables/bronze/market_prices.sql</t>
        </is>
      </c>
    </row>
    <row r="5" ht="34" customHeight="1">
      <c r="A5" s="9" t="inlineStr">
        <is>
          <t>cibc</t>
        </is>
      </c>
      <c r="B5" s="9" t="inlineStr">
        <is>
          <t>bronze</t>
        </is>
      </c>
      <c r="C5" s="9" t="inlineStr">
        <is>
          <t>market_prices</t>
        </is>
      </c>
      <c r="D5" s="9" t="inlineStr">
        <is>
          <t>Raw price records</t>
        </is>
      </c>
      <c r="E5" s="9" t="inlineStr">
        <is>
          <t>One symbol and price date</t>
        </is>
      </c>
      <c r="F5" s="9" t="inlineStr">
        <is>
          <t>Logical: symbol + price_date; no enforced constraint</t>
        </is>
      </c>
      <c r="G5" s="9" t="inlineStr">
        <is>
          <t>currency</t>
        </is>
      </c>
      <c r="H5" s="9" t="inlineStr">
        <is>
          <t>STRING</t>
        </is>
      </c>
      <c r="I5" s="9" t="inlineStr">
        <is>
          <t>N/A</t>
        </is>
      </c>
      <c r="J5" s="9" t="inlineStr">
        <is>
          <t>Yes</t>
        </is>
      </c>
      <c r="K5" s="9" t="inlineStr">
        <is>
          <t>None declared</t>
        </is>
      </c>
      <c r="L5" s="9" t="inlineStr">
        <is>
          <t>Financial reporting currency</t>
        </is>
      </c>
      <c r="M5" s="9" t="inlineStr">
        <is>
          <t>Trade/price source</t>
        </is>
      </c>
      <c r="N5" s="9" t="inlineStr">
        <is>
          <t>USD-only prototype</t>
        </is>
      </c>
      <c r="O5" s="9" t="inlineStr">
        <is>
          <t>Required on core accepted/Gold data</t>
        </is>
      </c>
      <c r="P5" s="9" t="inlineStr">
        <is>
          <t>No physical PK/partition/clustering</t>
        </is>
      </c>
      <c r="Q5" s="9" t="inlineStr">
        <is>
          <t>Conditional MERGE on symbol + price_date</t>
        </is>
      </c>
      <c r="R5" s="9" t="inlineStr">
        <is>
          <t>database/tables/bronze/market_prices.sql</t>
        </is>
      </c>
    </row>
    <row r="6" ht="34" customHeight="1">
      <c r="A6" s="8" t="inlineStr">
        <is>
          <t>cibc</t>
        </is>
      </c>
      <c r="B6" s="8" t="inlineStr">
        <is>
          <t>bronze</t>
        </is>
      </c>
      <c r="C6" s="8" t="inlineStr">
        <is>
          <t>market_prices</t>
        </is>
      </c>
      <c r="D6" s="8" t="inlineStr">
        <is>
          <t>Raw price records</t>
        </is>
      </c>
      <c r="E6" s="8" t="inlineStr">
        <is>
          <t>One symbol and price date</t>
        </is>
      </c>
      <c r="F6" s="8" t="inlineStr">
        <is>
          <t>Logical: symbol + price_date; no enforced constraint</t>
        </is>
      </c>
      <c r="G6" s="8" t="inlineStr">
        <is>
          <t>source_api</t>
        </is>
      </c>
      <c r="H6" s="8" t="inlineStr">
        <is>
          <t>STRING</t>
        </is>
      </c>
      <c r="I6" s="8" t="inlineStr">
        <is>
          <t>N/A</t>
        </is>
      </c>
      <c r="J6" s="8" t="inlineStr">
        <is>
          <t>Yes</t>
        </is>
      </c>
      <c r="K6" s="8" t="inlineStr">
        <is>
          <t>None declared</t>
        </is>
      </c>
      <c r="L6" s="8" t="inlineStr">
        <is>
          <t>Price provider identifier</t>
        </is>
      </c>
      <c r="M6" s="8" t="inlineStr">
        <is>
          <t>yfinance.download</t>
        </is>
      </c>
      <c r="N6" s="8" t="inlineStr">
        <is>
          <t>Added by price adapter</t>
        </is>
      </c>
      <c r="O6" s="8" t="inlineStr">
        <is>
          <t>Provider identity recorded; approved source TBD</t>
        </is>
      </c>
      <c r="P6" s="8" t="inlineStr">
        <is>
          <t>No physical PK/partition/clustering</t>
        </is>
      </c>
      <c r="Q6" s="8" t="inlineStr">
        <is>
          <t>Conditional MERGE on symbol + price_date</t>
        </is>
      </c>
      <c r="R6" s="8" t="inlineStr">
        <is>
          <t>database/tables/bronze/market_prices.sql</t>
        </is>
      </c>
    </row>
    <row r="7" ht="34" customHeight="1">
      <c r="A7" s="9" t="inlineStr">
        <is>
          <t>cibc</t>
        </is>
      </c>
      <c r="B7" s="9" t="inlineStr">
        <is>
          <t>bronze</t>
        </is>
      </c>
      <c r="C7" s="9" t="inlineStr">
        <is>
          <t>market_prices</t>
        </is>
      </c>
      <c r="D7" s="9" t="inlineStr">
        <is>
          <t>Raw price records</t>
        </is>
      </c>
      <c r="E7" s="9" t="inlineStr">
        <is>
          <t>One symbol and price date</t>
        </is>
      </c>
      <c r="F7" s="9" t="inlineStr">
        <is>
          <t>Logical: symbol + price_date; no enforced constraint</t>
        </is>
      </c>
      <c r="G7" s="9" t="inlineStr">
        <is>
          <t>ingestion_timestamp</t>
        </is>
      </c>
      <c r="H7" s="9" t="inlineStr">
        <is>
          <t>TIMESTAMP</t>
        </is>
      </c>
      <c r="I7" s="9" t="inlineStr">
        <is>
          <t>N/A</t>
        </is>
      </c>
      <c r="J7" s="9" t="inlineStr">
        <is>
          <t>Yes</t>
        </is>
      </c>
      <c r="K7" s="9" t="inlineStr">
        <is>
          <t>None declared</t>
        </is>
      </c>
      <c r="L7" s="9" t="inlineStr">
        <is>
          <t>Ingestion event timestamp</t>
        </is>
      </c>
      <c r="M7" s="9" t="inlineStr">
        <is>
          <t>Pipeline runtime</t>
        </is>
      </c>
      <c r="N7" s="9" t="inlineStr">
        <is>
          <t>current_timestamp or provider batch timestamp</t>
        </is>
      </c>
      <c r="O7" s="9" t="inlineStr">
        <is>
          <t>Audit lineage</t>
        </is>
      </c>
      <c r="P7" s="9" t="inlineStr">
        <is>
          <t>No physical PK/partition/clustering</t>
        </is>
      </c>
      <c r="Q7" s="9" t="inlineStr">
        <is>
          <t>Conditional MERGE on symbol + price_date</t>
        </is>
      </c>
      <c r="R7" s="9" t="inlineStr">
        <is>
          <t>database/tables/bronze/market_prices.sql</t>
        </is>
      </c>
    </row>
    <row r="8" ht="34" customHeight="1">
      <c r="A8" s="8" t="inlineStr">
        <is>
          <t>cibc</t>
        </is>
      </c>
      <c r="B8" s="8" t="inlineStr">
        <is>
          <t>bronze</t>
        </is>
      </c>
      <c r="C8" s="8" t="inlineStr">
        <is>
          <t>market_prices</t>
        </is>
      </c>
      <c r="D8" s="8" t="inlineStr">
        <is>
          <t>Raw price records</t>
        </is>
      </c>
      <c r="E8" s="8" t="inlineStr">
        <is>
          <t>One symbol and price date</t>
        </is>
      </c>
      <c r="F8" s="8" t="inlineStr">
        <is>
          <t>Logical: symbol + price_date; no enforced constraint</t>
        </is>
      </c>
      <c r="G8" s="8" t="inlineStr">
        <is>
          <t>run_id</t>
        </is>
      </c>
      <c r="H8" s="8" t="inlineStr">
        <is>
          <t>STRING</t>
        </is>
      </c>
      <c r="I8" s="8" t="inlineStr">
        <is>
          <t>N/A</t>
        </is>
      </c>
      <c r="J8" s="8" t="inlineStr">
        <is>
          <t>Yes</t>
        </is>
      </c>
      <c r="K8" s="8" t="inlineStr">
        <is>
          <t>None declared</t>
        </is>
      </c>
      <c r="L8" s="8" t="inlineStr">
        <is>
          <t>Pipeline run identifier</t>
        </is>
      </c>
      <c r="M8" s="8" t="inlineStr">
        <is>
          <t>Databricks Job run id</t>
        </is>
      </c>
      <c r="N8" s="8" t="inlineStr">
        <is>
          <t>Passed to task and persisted</t>
        </is>
      </c>
      <c r="O8" s="8" t="inlineStr">
        <is>
          <t>Required for lineage where source available</t>
        </is>
      </c>
      <c r="P8" s="8" t="inlineStr">
        <is>
          <t>No physical PK/partition/clustering</t>
        </is>
      </c>
      <c r="Q8" s="8" t="inlineStr">
        <is>
          <t>Conditional MERGE on symbol + price_date</t>
        </is>
      </c>
      <c r="R8" s="8" t="inlineStr">
        <is>
          <t>database/tables/bronze/market_prices.sql</t>
        </is>
      </c>
    </row>
    <row r="9" ht="34" customHeight="1">
      <c r="A9" s="9" t="inlineStr">
        <is>
          <t>cibc</t>
        </is>
      </c>
      <c r="B9" s="9" t="inlineStr">
        <is>
          <t>bronze</t>
        </is>
      </c>
      <c r="C9" s="9" t="inlineStr">
        <is>
          <t>trades</t>
        </is>
      </c>
      <c r="D9" s="9" t="inlineStr">
        <is>
          <t>Raw latest trade CSV snapshot</t>
        </is>
      </c>
      <c r="E9" s="9" t="inlineStr">
        <is>
          <t>One distinct source row per current file snapshot</t>
        </is>
      </c>
      <c r="F9" s="9" t="inlineStr">
        <is>
          <t>No enforced key; source identity is trade fields + version</t>
        </is>
      </c>
      <c r="G9" s="9" t="inlineStr">
        <is>
          <t>trade_id</t>
        </is>
      </c>
      <c r="H9" s="9" t="inlineStr">
        <is>
          <t>STRING</t>
        </is>
      </c>
      <c r="I9" s="9" t="inlineStr">
        <is>
          <t>N/A</t>
        </is>
      </c>
      <c r="J9" s="9" t="inlineStr">
        <is>
          <t>Yes</t>
        </is>
      </c>
      <c r="K9" s="9" t="inlineStr">
        <is>
          <t>None declared</t>
        </is>
      </c>
      <c r="L9" s="9" t="inlineStr">
        <is>
          <t>Trade identifier on valuation break</t>
        </is>
      </c>
      <c r="M9" s="9" t="inlineStr">
        <is>
          <t>Silver trade</t>
        </is>
      </c>
      <c r="N9" s="9" t="inlineStr">
        <is>
          <t>Nullable for instrument/date-level break</t>
        </is>
      </c>
      <c r="O9" s="9" t="inlineStr">
        <is>
          <t>Nullable</t>
        </is>
      </c>
      <c r="P9" s="9" t="inlineStr">
        <is>
          <t>No physical PK/partition/clustering; small prototype</t>
        </is>
      </c>
      <c r="Q9" s="9" t="inlineStr">
        <is>
          <t>INSERT OVERWRITE after structural validation</t>
        </is>
      </c>
      <c r="R9" s="9" t="inlineStr">
        <is>
          <t>database/tables/bronze/trades.sql</t>
        </is>
      </c>
    </row>
    <row r="10" ht="34" customHeight="1">
      <c r="A10" s="8" t="inlineStr">
        <is>
          <t>cibc</t>
        </is>
      </c>
      <c r="B10" s="8" t="inlineStr">
        <is>
          <t>bronze</t>
        </is>
      </c>
      <c r="C10" s="8" t="inlineStr">
        <is>
          <t>trades</t>
        </is>
      </c>
      <c r="D10" s="8" t="inlineStr">
        <is>
          <t>Raw latest trade CSV snapshot</t>
        </is>
      </c>
      <c r="E10" s="8" t="inlineStr">
        <is>
          <t>One distinct source row per current file snapshot</t>
        </is>
      </c>
      <c r="F10" s="8" t="inlineStr">
        <is>
          <t>No enforced key; source identity is trade fields + version</t>
        </is>
      </c>
      <c r="G10" s="8" t="inlineStr">
        <is>
          <t>counterparty_id</t>
        </is>
      </c>
      <c r="H10" s="8" t="inlineStr">
        <is>
          <t>STRING</t>
        </is>
      </c>
      <c r="I10" s="8" t="inlineStr">
        <is>
          <t>N/A</t>
        </is>
      </c>
      <c r="J10" s="8" t="inlineStr">
        <is>
          <t>Yes</t>
        </is>
      </c>
      <c r="K10" s="8" t="inlineStr">
        <is>
          <t>None declared</t>
        </is>
      </c>
      <c r="L10" s="8" t="inlineStr">
        <is>
          <t>Counterparty identifier</t>
        </is>
      </c>
      <c r="M10" s="8" t="inlineStr">
        <is>
          <t>CSV.counterparty_id</t>
        </is>
      </c>
      <c r="N10" s="8" t="inlineStr">
        <is>
          <t>Preserved as STRING</t>
        </is>
      </c>
      <c r="O10" s="8" t="inlineStr">
        <is>
          <t>Required/nonblank for accepted trade</t>
        </is>
      </c>
      <c r="P10" s="8" t="inlineStr">
        <is>
          <t>No physical PK/partition/clustering; small prototype</t>
        </is>
      </c>
      <c r="Q10" s="8" t="inlineStr">
        <is>
          <t>INSERT OVERWRITE after structural validation</t>
        </is>
      </c>
      <c r="R10" s="8" t="inlineStr">
        <is>
          <t>database/tables/bronze/trades.sql</t>
        </is>
      </c>
    </row>
    <row r="11" ht="34" customHeight="1">
      <c r="A11" s="9" t="inlineStr">
        <is>
          <t>cibc</t>
        </is>
      </c>
      <c r="B11" s="9" t="inlineStr">
        <is>
          <t>bronze</t>
        </is>
      </c>
      <c r="C11" s="9" t="inlineStr">
        <is>
          <t>trades</t>
        </is>
      </c>
      <c r="D11" s="9" t="inlineStr">
        <is>
          <t>Raw latest trade CSV snapshot</t>
        </is>
      </c>
      <c r="E11" s="9" t="inlineStr">
        <is>
          <t>One distinct source row per current file snapshot</t>
        </is>
      </c>
      <c r="F11" s="9" t="inlineStr">
        <is>
          <t>No enforced key; source identity is trade fields + version</t>
        </is>
      </c>
      <c r="G11" s="9" t="inlineStr">
        <is>
          <t>instrument_id</t>
        </is>
      </c>
      <c r="H11" s="9" t="inlineStr">
        <is>
          <t>STRING</t>
        </is>
      </c>
      <c r="I11" s="9" t="inlineStr">
        <is>
          <t>N/A</t>
        </is>
      </c>
      <c r="J11" s="9" t="inlineStr">
        <is>
          <t>Yes</t>
        </is>
      </c>
      <c r="K11" s="9" t="inlineStr">
        <is>
          <t>None declared</t>
        </is>
      </c>
      <c r="L11" s="9" t="inlineStr">
        <is>
          <t>Instrument identifier on position/break</t>
        </is>
      </c>
      <c r="M11" s="9" t="inlineStr">
        <is>
          <t>Configured mapping or Silver trade</t>
        </is>
      </c>
      <c r="N11" s="9" t="inlineStr">
        <is>
          <t>STRING</t>
        </is>
      </c>
      <c r="O11" s="9" t="inlineStr">
        <is>
          <t>Required on accepted trade; nullable in break DDL</t>
        </is>
      </c>
      <c r="P11" s="9" t="inlineStr">
        <is>
          <t>No physical PK/partition/clustering; small prototype</t>
        </is>
      </c>
      <c r="Q11" s="9" t="inlineStr">
        <is>
          <t>INSERT OVERWRITE after structural validation</t>
        </is>
      </c>
      <c r="R11" s="9" t="inlineStr">
        <is>
          <t>database/tables/bronze/trades.sql</t>
        </is>
      </c>
    </row>
    <row r="12" ht="34" customHeight="1">
      <c r="A12" s="8" t="inlineStr">
        <is>
          <t>cibc</t>
        </is>
      </c>
      <c r="B12" s="8" t="inlineStr">
        <is>
          <t>bronze</t>
        </is>
      </c>
      <c r="C12" s="8" t="inlineStr">
        <is>
          <t>trades</t>
        </is>
      </c>
      <c r="D12" s="8" t="inlineStr">
        <is>
          <t>Raw latest trade CSV snapshot</t>
        </is>
      </c>
      <c r="E12" s="8" t="inlineStr">
        <is>
          <t>One distinct source row per current file snapshot</t>
        </is>
      </c>
      <c r="F12" s="8" t="inlineStr">
        <is>
          <t>No enforced key; source identity is trade fields + version</t>
        </is>
      </c>
      <c r="G12" s="8" t="inlineStr">
        <is>
          <t>symbol</t>
        </is>
      </c>
      <c r="H12" s="8" t="inlineStr">
        <is>
          <t>STRING</t>
        </is>
      </c>
      <c r="I12" s="8" t="inlineStr">
        <is>
          <t>N/A</t>
        </is>
      </c>
      <c r="J12" s="8" t="inlineStr">
        <is>
          <t>Yes</t>
        </is>
      </c>
      <c r="K12" s="8" t="inlineStr">
        <is>
          <t>None declared</t>
        </is>
      </c>
      <c r="L12" s="8" t="inlineStr">
        <is>
          <t>Market ticker symbol</t>
        </is>
      </c>
      <c r="M12" s="8" t="inlineStr">
        <is>
          <t>CSV.symbol or configured instrument mapping</t>
        </is>
      </c>
      <c r="N12" s="8" t="inlineStr">
        <is>
          <t>Normalized/validated against instrument map</t>
        </is>
      </c>
      <c r="O12" s="8" t="inlineStr">
        <is>
          <t>Required; mapped and consistent</t>
        </is>
      </c>
      <c r="P12" s="8" t="inlineStr">
        <is>
          <t>No physical PK/partition/clustering; small prototype</t>
        </is>
      </c>
      <c r="Q12" s="8" t="inlineStr">
        <is>
          <t>INSERT OVERWRITE after structural validation</t>
        </is>
      </c>
      <c r="R12" s="8" t="inlineStr">
        <is>
          <t>database/tables/bronze/trades.sql</t>
        </is>
      </c>
    </row>
    <row r="13" ht="34" customHeight="1">
      <c r="A13" s="9" t="inlineStr">
        <is>
          <t>cibc</t>
        </is>
      </c>
      <c r="B13" s="9" t="inlineStr">
        <is>
          <t>bronze</t>
        </is>
      </c>
      <c r="C13" s="9" t="inlineStr">
        <is>
          <t>trades</t>
        </is>
      </c>
      <c r="D13" s="9" t="inlineStr">
        <is>
          <t>Raw latest trade CSV snapshot</t>
        </is>
      </c>
      <c r="E13" s="9" t="inlineStr">
        <is>
          <t>One distinct source row per current file snapshot</t>
        </is>
      </c>
      <c r="F13" s="9" t="inlineStr">
        <is>
          <t>No enforced key; source identity is trade fields + version</t>
        </is>
      </c>
      <c r="G13" s="9" t="inlineStr">
        <is>
          <t>side</t>
        </is>
      </c>
      <c r="H13" s="9" t="inlineStr">
        <is>
          <t>STRING</t>
        </is>
      </c>
      <c r="I13" s="9" t="inlineStr">
        <is>
          <t>N/A</t>
        </is>
      </c>
      <c r="J13" s="9" t="inlineStr">
        <is>
          <t>Yes</t>
        </is>
      </c>
      <c r="K13" s="9" t="inlineStr">
        <is>
          <t>None declared</t>
        </is>
      </c>
      <c r="L13" s="9" t="inlineStr">
        <is>
          <t>Source trade direction</t>
        </is>
      </c>
      <c r="M13" s="9" t="inlineStr">
        <is>
          <t>CSV.side</t>
        </is>
      </c>
      <c r="N13" s="9" t="inlineStr">
        <is>
          <t>Raw value retained in Bronze/reject; used to sign quantity</t>
        </is>
      </c>
      <c r="O13" s="9" t="inlineStr">
        <is>
          <t>BUY or SELL</t>
        </is>
      </c>
      <c r="P13" s="9" t="inlineStr">
        <is>
          <t>No physical PK/partition/clustering; small prototype</t>
        </is>
      </c>
      <c r="Q13" s="9" t="inlineStr">
        <is>
          <t>INSERT OVERWRITE after structural validation</t>
        </is>
      </c>
      <c r="R13" s="9" t="inlineStr">
        <is>
          <t>database/tables/bronze/trades.sql</t>
        </is>
      </c>
    </row>
    <row r="14" ht="34" customHeight="1">
      <c r="A14" s="8" t="inlineStr">
        <is>
          <t>cibc</t>
        </is>
      </c>
      <c r="B14" s="8" t="inlineStr">
        <is>
          <t>bronze</t>
        </is>
      </c>
      <c r="C14" s="8" t="inlineStr">
        <is>
          <t>trades</t>
        </is>
      </c>
      <c r="D14" s="8" t="inlineStr">
        <is>
          <t>Raw latest trade CSV snapshot</t>
        </is>
      </c>
      <c r="E14" s="8" t="inlineStr">
        <is>
          <t>One distinct source row per current file snapshot</t>
        </is>
      </c>
      <c r="F14" s="8" t="inlineStr">
        <is>
          <t>No enforced key; source identity is trade fields + version</t>
        </is>
      </c>
      <c r="G14" s="8" t="inlineStr">
        <is>
          <t>quantity</t>
        </is>
      </c>
      <c r="H14" s="8" t="inlineStr">
        <is>
          <t>STRING</t>
        </is>
      </c>
      <c r="I14" s="8" t="inlineStr">
        <is>
          <t>N/A</t>
        </is>
      </c>
      <c r="J14" s="8" t="inlineStr">
        <is>
          <t>Yes</t>
        </is>
      </c>
      <c r="K14" s="8" t="inlineStr">
        <is>
          <t>None declared</t>
        </is>
      </c>
      <c r="L14" s="8" t="inlineStr">
        <is>
          <t>Trade or position quantity</t>
        </is>
      </c>
      <c r="M14" s="8" t="inlineStr">
        <is>
          <t>CSV.quantity or Silver trades.quantity</t>
        </is>
      </c>
      <c r="N14" s="8" t="inlineStr">
        <is>
          <t>DECIMAL(18,6); SELL is negative in Silver; aggregates use DECIMAL(28,6)</t>
        </is>
      </c>
      <c r="O14" s="8" t="inlineStr">
        <is>
          <t>Nonzero; BUY positive; SELL negative after normalization</t>
        </is>
      </c>
      <c r="P14" s="8" t="inlineStr">
        <is>
          <t>No physical PK/partition/clustering; small prototype</t>
        </is>
      </c>
      <c r="Q14" s="8" t="inlineStr">
        <is>
          <t>INSERT OVERWRITE after structural validation</t>
        </is>
      </c>
      <c r="R14" s="8" t="inlineStr">
        <is>
          <t>database/tables/bronze/trades.sql</t>
        </is>
      </c>
    </row>
    <row r="15" ht="34" customHeight="1">
      <c r="A15" s="9" t="inlineStr">
        <is>
          <t>cibc</t>
        </is>
      </c>
      <c r="B15" s="9" t="inlineStr">
        <is>
          <t>bronze</t>
        </is>
      </c>
      <c r="C15" s="9" t="inlineStr">
        <is>
          <t>trades</t>
        </is>
      </c>
      <c r="D15" s="9" t="inlineStr">
        <is>
          <t>Raw latest trade CSV snapshot</t>
        </is>
      </c>
      <c r="E15" s="9" t="inlineStr">
        <is>
          <t>One distinct source row per current file snapshot</t>
        </is>
      </c>
      <c r="F15" s="9" t="inlineStr">
        <is>
          <t>No enforced key; source identity is trade fields + version</t>
        </is>
      </c>
      <c r="G15" s="9" t="inlineStr">
        <is>
          <t>price</t>
        </is>
      </c>
      <c r="H15" s="9" t="inlineStr">
        <is>
          <t>STRING</t>
        </is>
      </c>
      <c r="I15" s="9" t="inlineStr">
        <is>
          <t>N/A</t>
        </is>
      </c>
      <c r="J15" s="9" t="inlineStr">
        <is>
          <t>Yes</t>
        </is>
      </c>
      <c r="K15" s="9" t="inlineStr">
        <is>
          <t>None declared</t>
        </is>
      </c>
      <c r="L15" s="9" t="inlineStr">
        <is>
          <t>Trade execution price</t>
        </is>
      </c>
      <c r="M15" s="9" t="inlineStr">
        <is>
          <t>CSV.price</t>
        </is>
      </c>
      <c r="N15" s="9" t="inlineStr">
        <is>
          <t>try_cast to DECIMAL(18,6)</t>
        </is>
      </c>
      <c r="O15" s="9" t="inlineStr">
        <is>
          <t>Required and &gt; 0</t>
        </is>
      </c>
      <c r="P15" s="9" t="inlineStr">
        <is>
          <t>No physical PK/partition/clustering; small prototype</t>
        </is>
      </c>
      <c r="Q15" s="9" t="inlineStr">
        <is>
          <t>INSERT OVERWRITE after structural validation</t>
        </is>
      </c>
      <c r="R15" s="9" t="inlineStr">
        <is>
          <t>database/tables/bronze/trades.sql</t>
        </is>
      </c>
    </row>
    <row r="16" ht="34" customHeight="1">
      <c r="A16" s="8" t="inlineStr">
        <is>
          <t>cibc</t>
        </is>
      </c>
      <c r="B16" s="8" t="inlineStr">
        <is>
          <t>bronze</t>
        </is>
      </c>
      <c r="C16" s="8" t="inlineStr">
        <is>
          <t>trades</t>
        </is>
      </c>
      <c r="D16" s="8" t="inlineStr">
        <is>
          <t>Raw latest trade CSV snapshot</t>
        </is>
      </c>
      <c r="E16" s="8" t="inlineStr">
        <is>
          <t>One distinct source row per current file snapshot</t>
        </is>
      </c>
      <c r="F16" s="8" t="inlineStr">
        <is>
          <t>No enforced key; source identity is trade fields + version</t>
        </is>
      </c>
      <c r="G16" s="8" t="inlineStr">
        <is>
          <t>currency</t>
        </is>
      </c>
      <c r="H16" s="8" t="inlineStr">
        <is>
          <t>STRING</t>
        </is>
      </c>
      <c r="I16" s="8" t="inlineStr">
        <is>
          <t>N/A</t>
        </is>
      </c>
      <c r="J16" s="8" t="inlineStr">
        <is>
          <t>Yes</t>
        </is>
      </c>
      <c r="K16" s="8" t="inlineStr">
        <is>
          <t>None declared</t>
        </is>
      </c>
      <c r="L16" s="8" t="inlineStr">
        <is>
          <t>Financial reporting currency</t>
        </is>
      </c>
      <c r="M16" s="8" t="inlineStr">
        <is>
          <t>Trade/price source</t>
        </is>
      </c>
      <c r="N16" s="8" t="inlineStr">
        <is>
          <t>USD-only prototype</t>
        </is>
      </c>
      <c r="O16" s="8" t="inlineStr">
        <is>
          <t>Required on core accepted/Gold data</t>
        </is>
      </c>
      <c r="P16" s="8" t="inlineStr">
        <is>
          <t>No physical PK/partition/clustering; small prototype</t>
        </is>
      </c>
      <c r="Q16" s="8" t="inlineStr">
        <is>
          <t>INSERT OVERWRITE after structural validation</t>
        </is>
      </c>
      <c r="R16" s="8" t="inlineStr">
        <is>
          <t>database/tables/bronze/trades.sql</t>
        </is>
      </c>
    </row>
    <row r="17" ht="34" customHeight="1">
      <c r="A17" s="9" t="inlineStr">
        <is>
          <t>cibc</t>
        </is>
      </c>
      <c r="B17" s="9" t="inlineStr">
        <is>
          <t>bronze</t>
        </is>
      </c>
      <c r="C17" s="9" t="inlineStr">
        <is>
          <t>trades</t>
        </is>
      </c>
      <c r="D17" s="9" t="inlineStr">
        <is>
          <t>Raw latest trade CSV snapshot</t>
        </is>
      </c>
      <c r="E17" s="9" t="inlineStr">
        <is>
          <t>One distinct source row per current file snapshot</t>
        </is>
      </c>
      <c r="F17" s="9" t="inlineStr">
        <is>
          <t>No enforced key; source identity is trade fields + version</t>
        </is>
      </c>
      <c r="G17" s="9" t="inlineStr">
        <is>
          <t>trade_timestamp</t>
        </is>
      </c>
      <c r="H17" s="9" t="inlineStr">
        <is>
          <t>STRING</t>
        </is>
      </c>
      <c r="I17" s="9" t="inlineStr">
        <is>
          <t>N/A</t>
        </is>
      </c>
      <c r="J17" s="9" t="inlineStr">
        <is>
          <t>Yes</t>
        </is>
      </c>
      <c r="K17" s="9" t="inlineStr">
        <is>
          <t>None declared</t>
        </is>
      </c>
      <c r="L17" s="9" t="inlineStr">
        <is>
          <t>Trade event timestamp</t>
        </is>
      </c>
      <c r="M17" s="9" t="inlineStr">
        <is>
          <t>CSV.trade_timestamp</t>
        </is>
      </c>
      <c r="N17" s="9" t="inlineStr">
        <is>
          <t>try_cast to TIMESTAMP</t>
        </is>
      </c>
      <c r="O17" s="9" t="inlineStr">
        <is>
          <t>Required; date must match trade_date</t>
        </is>
      </c>
      <c r="P17" s="9" t="inlineStr">
        <is>
          <t>No physical PK/partition/clustering; small prototype</t>
        </is>
      </c>
      <c r="Q17" s="9" t="inlineStr">
        <is>
          <t>INSERT OVERWRITE after structural validation</t>
        </is>
      </c>
      <c r="R17" s="9" t="inlineStr">
        <is>
          <t>database/tables/bronze/trades.sql</t>
        </is>
      </c>
    </row>
    <row r="18" ht="34" customHeight="1">
      <c r="A18" s="8" t="inlineStr">
        <is>
          <t>cibc</t>
        </is>
      </c>
      <c r="B18" s="8" t="inlineStr">
        <is>
          <t>bronze</t>
        </is>
      </c>
      <c r="C18" s="8" t="inlineStr">
        <is>
          <t>trades</t>
        </is>
      </c>
      <c r="D18" s="8" t="inlineStr">
        <is>
          <t>Raw latest trade CSV snapshot</t>
        </is>
      </c>
      <c r="E18" s="8" t="inlineStr">
        <is>
          <t>One distinct source row per current file snapshot</t>
        </is>
      </c>
      <c r="F18" s="8" t="inlineStr">
        <is>
          <t>No enforced key; source identity is trade fields + version</t>
        </is>
      </c>
      <c r="G18" s="8" t="inlineStr">
        <is>
          <t>trade_date</t>
        </is>
      </c>
      <c r="H18" s="8" t="inlineStr">
        <is>
          <t>STRING</t>
        </is>
      </c>
      <c r="I18" s="8" t="inlineStr">
        <is>
          <t>N/A</t>
        </is>
      </c>
      <c r="J18" s="8" t="inlineStr">
        <is>
          <t>Yes</t>
        </is>
      </c>
      <c r="K18" s="8" t="inlineStr">
        <is>
          <t>None declared</t>
        </is>
      </c>
      <c r="L18" s="8" t="inlineStr">
        <is>
          <t>Trade business date</t>
        </is>
      </c>
      <c r="M18" s="8" t="inlineStr">
        <is>
          <t>CSV.trade_date</t>
        </is>
      </c>
      <c r="N18" s="8" t="inlineStr">
        <is>
          <t>try_cast to DATE; drives daily position activity</t>
        </is>
      </c>
      <c r="O18" s="8" t="inlineStr">
        <is>
          <t>Required; supported session and not future</t>
        </is>
      </c>
      <c r="P18" s="8" t="inlineStr">
        <is>
          <t>No physical PK/partition/clustering; small prototype</t>
        </is>
      </c>
      <c r="Q18" s="8" t="inlineStr">
        <is>
          <t>INSERT OVERWRITE after structural validation</t>
        </is>
      </c>
      <c r="R18" s="8" t="inlineStr">
        <is>
          <t>database/tables/bronze/trades.sql</t>
        </is>
      </c>
    </row>
    <row r="19" ht="34" customHeight="1">
      <c r="A19" s="9" t="inlineStr">
        <is>
          <t>cibc</t>
        </is>
      </c>
      <c r="B19" s="9" t="inlineStr">
        <is>
          <t>bronze</t>
        </is>
      </c>
      <c r="C19" s="9" t="inlineStr">
        <is>
          <t>trades</t>
        </is>
      </c>
      <c r="D19" s="9" t="inlineStr">
        <is>
          <t>Raw latest trade CSV snapshot</t>
        </is>
      </c>
      <c r="E19" s="9" t="inlineStr">
        <is>
          <t>One distinct source row per current file snapshot</t>
        </is>
      </c>
      <c r="F19" s="9" t="inlineStr">
        <is>
          <t>No enforced key; source identity is trade fields + version</t>
        </is>
      </c>
      <c r="G19" s="9" t="inlineStr">
        <is>
          <t>settlement_date</t>
        </is>
      </c>
      <c r="H19" s="9" t="inlineStr">
        <is>
          <t>STRING</t>
        </is>
      </c>
      <c r="I19" s="9" t="inlineStr">
        <is>
          <t>N/A</t>
        </is>
      </c>
      <c r="J19" s="9" t="inlineStr">
        <is>
          <t>Yes</t>
        </is>
      </c>
      <c r="K19" s="9" t="inlineStr">
        <is>
          <t>None declared</t>
        </is>
      </c>
      <c r="L19" s="9" t="inlineStr">
        <is>
          <t>Settlement business date</t>
        </is>
      </c>
      <c r="M19" s="9" t="inlineStr">
        <is>
          <t>CSV.settlement_date</t>
        </is>
      </c>
      <c r="N19" s="9" t="inlineStr">
        <is>
          <t>try_cast to DATE</t>
        </is>
      </c>
      <c r="O19" s="9" t="inlineStr">
        <is>
          <t>Required; next supported business session in current rule</t>
        </is>
      </c>
      <c r="P19" s="9" t="inlineStr">
        <is>
          <t>No physical PK/partition/clustering; small prototype</t>
        </is>
      </c>
      <c r="Q19" s="9" t="inlineStr">
        <is>
          <t>INSERT OVERWRITE after structural validation</t>
        </is>
      </c>
      <c r="R19" s="9" t="inlineStr">
        <is>
          <t>database/tables/bronze/trades.sql</t>
        </is>
      </c>
    </row>
    <row r="20" ht="34" customHeight="1">
      <c r="A20" s="8" t="inlineStr">
        <is>
          <t>cibc</t>
        </is>
      </c>
      <c r="B20" s="8" t="inlineStr">
        <is>
          <t>bronze</t>
        </is>
      </c>
      <c r="C20" s="8" t="inlineStr">
        <is>
          <t>trades</t>
        </is>
      </c>
      <c r="D20" s="8" t="inlineStr">
        <is>
          <t>Raw latest trade CSV snapshot</t>
        </is>
      </c>
      <c r="E20" s="8" t="inlineStr">
        <is>
          <t>One distinct source row per current file snapshot</t>
        </is>
      </c>
      <c r="F20" s="8" t="inlineStr">
        <is>
          <t>No enforced key; source identity is trade fields + version</t>
        </is>
      </c>
      <c r="G20" s="8" t="inlineStr">
        <is>
          <t>book_id</t>
        </is>
      </c>
      <c r="H20" s="8" t="inlineStr">
        <is>
          <t>STRING</t>
        </is>
      </c>
      <c r="I20" s="8" t="inlineStr">
        <is>
          <t>N/A</t>
        </is>
      </c>
      <c r="J20" s="8" t="inlineStr">
        <is>
          <t>Yes</t>
        </is>
      </c>
      <c r="K20" s="8" t="inlineStr">
        <is>
          <t>None declared</t>
        </is>
      </c>
      <c r="L20" s="8" t="inlineStr">
        <is>
          <t>Trading book identifier</t>
        </is>
      </c>
      <c r="M20" s="8" t="inlineStr">
        <is>
          <t>CSV.book_id</t>
        </is>
      </c>
      <c r="N20" s="8" t="inlineStr">
        <is>
          <t>Passed as opaque STRING</t>
        </is>
      </c>
      <c r="O20" s="8" t="inlineStr">
        <is>
          <t>Required/nonblank; book reference not persisted</t>
        </is>
      </c>
      <c r="P20" s="8" t="inlineStr">
        <is>
          <t>No physical PK/partition/clustering; small prototype</t>
        </is>
      </c>
      <c r="Q20" s="8" t="inlineStr">
        <is>
          <t>INSERT OVERWRITE after structural validation</t>
        </is>
      </c>
      <c r="R20" s="8" t="inlineStr">
        <is>
          <t>database/tables/bronze/trades.sql</t>
        </is>
      </c>
    </row>
    <row r="21" ht="34" customHeight="1">
      <c r="A21" s="9" t="inlineStr">
        <is>
          <t>cibc</t>
        </is>
      </c>
      <c r="B21" s="9" t="inlineStr">
        <is>
          <t>bronze</t>
        </is>
      </c>
      <c r="C21" s="9" t="inlineStr">
        <is>
          <t>trades</t>
        </is>
      </c>
      <c r="D21" s="9" t="inlineStr">
        <is>
          <t>Raw latest trade CSV snapshot</t>
        </is>
      </c>
      <c r="E21" s="9" t="inlineStr">
        <is>
          <t>One distinct source row per current file snapshot</t>
        </is>
      </c>
      <c r="F21" s="9" t="inlineStr">
        <is>
          <t>No enforced key; source identity is trade fields + version</t>
        </is>
      </c>
      <c r="G21" s="9" t="inlineStr">
        <is>
          <t>version</t>
        </is>
      </c>
      <c r="H21" s="9" t="inlineStr">
        <is>
          <t>STRING</t>
        </is>
      </c>
      <c r="I21" s="9" t="inlineStr">
        <is>
          <t>N/A</t>
        </is>
      </c>
      <c r="J21" s="9" t="inlineStr">
        <is>
          <t>Yes</t>
        </is>
      </c>
      <c r="K21" s="9" t="inlineStr">
        <is>
          <t>None declared</t>
        </is>
      </c>
      <c r="L21" s="9" t="inlineStr">
        <is>
          <t>Trade source version</t>
        </is>
      </c>
      <c r="M21" s="9" t="inlineStr">
        <is>
          <t>CSV.version</t>
        </is>
      </c>
      <c r="N21" s="9" t="inlineStr">
        <is>
          <t>try_cast to INT</t>
        </is>
      </c>
      <c r="O21" s="9" t="inlineStr">
        <is>
          <t>Positive; latest version wins</t>
        </is>
      </c>
      <c r="P21" s="9" t="inlineStr">
        <is>
          <t>No physical PK/partition/clustering; small prototype</t>
        </is>
      </c>
      <c r="Q21" s="9" t="inlineStr">
        <is>
          <t>INSERT OVERWRITE after structural validation</t>
        </is>
      </c>
      <c r="R21" s="9" t="inlineStr">
        <is>
          <t>database/tables/bronze/trades.sql</t>
        </is>
      </c>
    </row>
    <row r="22" ht="34" customHeight="1">
      <c r="A22" s="8" t="inlineStr">
        <is>
          <t>cibc</t>
        </is>
      </c>
      <c r="B22" s="8" t="inlineStr">
        <is>
          <t>bronze</t>
        </is>
      </c>
      <c r="C22" s="8" t="inlineStr">
        <is>
          <t>trades</t>
        </is>
      </c>
      <c r="D22" s="8" t="inlineStr">
        <is>
          <t>Raw latest trade CSV snapshot</t>
        </is>
      </c>
      <c r="E22" s="8" t="inlineStr">
        <is>
          <t>One distinct source row per current file snapshot</t>
        </is>
      </c>
      <c r="F22" s="8" t="inlineStr">
        <is>
          <t>No enforced key; source identity is trade fields + version</t>
        </is>
      </c>
      <c r="G22" s="8" t="inlineStr">
        <is>
          <t>modified_timestamp</t>
        </is>
      </c>
      <c r="H22" s="8" t="inlineStr">
        <is>
          <t>STRING</t>
        </is>
      </c>
      <c r="I22" s="8" t="inlineStr">
        <is>
          <t>N/A</t>
        </is>
      </c>
      <c r="J22" s="8" t="inlineStr">
        <is>
          <t>Yes</t>
        </is>
      </c>
      <c r="K22" s="8" t="inlineStr">
        <is>
          <t>None declared</t>
        </is>
      </c>
      <c r="L22" s="8" t="inlineStr">
        <is>
          <t>Trade source correction timestamp</t>
        </is>
      </c>
      <c r="M22" s="8" t="inlineStr">
        <is>
          <t>CSV.modified_timestamp</t>
        </is>
      </c>
      <c r="N22" s="8" t="inlineStr">
        <is>
          <t>try_cast to TIMESTAMP</t>
        </is>
      </c>
      <c r="O22" s="8" t="inlineStr">
        <is>
          <t>Required; not earlier than trade timestamp</t>
        </is>
      </c>
      <c r="P22" s="8" t="inlineStr">
        <is>
          <t>No physical PK/partition/clustering; small prototype</t>
        </is>
      </c>
      <c r="Q22" s="8" t="inlineStr">
        <is>
          <t>INSERT OVERWRITE after structural validation</t>
        </is>
      </c>
      <c r="R22" s="8" t="inlineStr">
        <is>
          <t>database/tables/bronze/trades.sql</t>
        </is>
      </c>
    </row>
    <row r="23" ht="34" customHeight="1">
      <c r="A23" s="9" t="inlineStr">
        <is>
          <t>cibc</t>
        </is>
      </c>
      <c r="B23" s="9" t="inlineStr">
        <is>
          <t>bronze</t>
        </is>
      </c>
      <c r="C23" s="9" t="inlineStr">
        <is>
          <t>trades</t>
        </is>
      </c>
      <c r="D23" s="9" t="inlineStr">
        <is>
          <t>Raw latest trade CSV snapshot</t>
        </is>
      </c>
      <c r="E23" s="9" t="inlineStr">
        <is>
          <t>One distinct source row per current file snapshot</t>
        </is>
      </c>
      <c r="F23" s="9" t="inlineStr">
        <is>
          <t>No enforced key; source identity is trade fields + version</t>
        </is>
      </c>
      <c r="G23" s="9" t="inlineStr">
        <is>
          <t>source_file</t>
        </is>
      </c>
      <c r="H23" s="9" t="inlineStr">
        <is>
          <t>STRING</t>
        </is>
      </c>
      <c r="I23" s="9" t="inlineStr">
        <is>
          <t>N/A</t>
        </is>
      </c>
      <c r="J23" s="9" t="inlineStr">
        <is>
          <t>Yes</t>
        </is>
      </c>
      <c r="K23" s="9" t="inlineStr">
        <is>
          <t>None declared</t>
        </is>
      </c>
      <c r="L23" s="9" t="inlineStr">
        <is>
          <t>Source path/file lineage</t>
        </is>
      </c>
      <c r="M23" s="9" t="inlineStr">
        <is>
          <t>Input Volume path</t>
        </is>
      </c>
      <c r="N23" s="9" t="inlineStr">
        <is>
          <t>Added at Bronze ingestion; propagated to Silver trade</t>
        </is>
      </c>
      <c r="O23" s="9" t="inlineStr">
        <is>
          <t>Required lineage in Bronze; nullable in Silver DDL</t>
        </is>
      </c>
      <c r="P23" s="9" t="inlineStr">
        <is>
          <t>No physical PK/partition/clustering; small prototype</t>
        </is>
      </c>
      <c r="Q23" s="9" t="inlineStr">
        <is>
          <t>INSERT OVERWRITE after structural validation</t>
        </is>
      </c>
      <c r="R23" s="9" t="inlineStr">
        <is>
          <t>database/tables/bronze/trades.sql</t>
        </is>
      </c>
    </row>
    <row r="24" ht="34" customHeight="1">
      <c r="A24" s="8" t="inlineStr">
        <is>
          <t>cibc</t>
        </is>
      </c>
      <c r="B24" s="8" t="inlineStr">
        <is>
          <t>bronze</t>
        </is>
      </c>
      <c r="C24" s="8" t="inlineStr">
        <is>
          <t>trades</t>
        </is>
      </c>
      <c r="D24" s="8" t="inlineStr">
        <is>
          <t>Raw latest trade CSV snapshot</t>
        </is>
      </c>
      <c r="E24" s="8" t="inlineStr">
        <is>
          <t>One distinct source row per current file snapshot</t>
        </is>
      </c>
      <c r="F24" s="8" t="inlineStr">
        <is>
          <t>No enforced key; source identity is trade fields + version</t>
        </is>
      </c>
      <c r="G24" s="8" t="inlineStr">
        <is>
          <t>ingestion_timestamp</t>
        </is>
      </c>
      <c r="H24" s="8" t="inlineStr">
        <is>
          <t>TIMESTAMP</t>
        </is>
      </c>
      <c r="I24" s="8" t="inlineStr">
        <is>
          <t>N/A</t>
        </is>
      </c>
      <c r="J24" s="8" t="inlineStr">
        <is>
          <t>Yes</t>
        </is>
      </c>
      <c r="K24" s="8" t="inlineStr">
        <is>
          <t>None declared</t>
        </is>
      </c>
      <c r="L24" s="8" t="inlineStr">
        <is>
          <t>Ingestion event timestamp</t>
        </is>
      </c>
      <c r="M24" s="8" t="inlineStr">
        <is>
          <t>Pipeline runtime</t>
        </is>
      </c>
      <c r="N24" s="8" t="inlineStr">
        <is>
          <t>current_timestamp or provider batch timestamp</t>
        </is>
      </c>
      <c r="O24" s="8" t="inlineStr">
        <is>
          <t>Audit lineage</t>
        </is>
      </c>
      <c r="P24" s="8" t="inlineStr">
        <is>
          <t>No physical PK/partition/clustering; small prototype</t>
        </is>
      </c>
      <c r="Q24" s="8" t="inlineStr">
        <is>
          <t>INSERT OVERWRITE after structural validation</t>
        </is>
      </c>
      <c r="R24" s="8" t="inlineStr">
        <is>
          <t>database/tables/bronze/trades.sql</t>
        </is>
      </c>
    </row>
    <row r="25" ht="34" customHeight="1">
      <c r="A25" s="9" t="inlineStr">
        <is>
          <t>cibc</t>
        </is>
      </c>
      <c r="B25" s="9" t="inlineStr">
        <is>
          <t>bronze</t>
        </is>
      </c>
      <c r="C25" s="9" t="inlineStr">
        <is>
          <t>trades</t>
        </is>
      </c>
      <c r="D25" s="9" t="inlineStr">
        <is>
          <t>Raw latest trade CSV snapshot</t>
        </is>
      </c>
      <c r="E25" s="9" t="inlineStr">
        <is>
          <t>One distinct source row per current file snapshot</t>
        </is>
      </c>
      <c r="F25" s="9" t="inlineStr">
        <is>
          <t>No enforced key; source identity is trade fields + version</t>
        </is>
      </c>
      <c r="G25" s="9" t="inlineStr">
        <is>
          <t>run_id</t>
        </is>
      </c>
      <c r="H25" s="9" t="inlineStr">
        <is>
          <t>STRING</t>
        </is>
      </c>
      <c r="I25" s="9" t="inlineStr">
        <is>
          <t>N/A</t>
        </is>
      </c>
      <c r="J25" s="9" t="inlineStr">
        <is>
          <t>Yes</t>
        </is>
      </c>
      <c r="K25" s="9" t="inlineStr">
        <is>
          <t>None declared</t>
        </is>
      </c>
      <c r="L25" s="9" t="inlineStr">
        <is>
          <t>Pipeline run identifier</t>
        </is>
      </c>
      <c r="M25" s="9" t="inlineStr">
        <is>
          <t>Databricks Job run id</t>
        </is>
      </c>
      <c r="N25" s="9" t="inlineStr">
        <is>
          <t>Passed to task and persisted</t>
        </is>
      </c>
      <c r="O25" s="9" t="inlineStr">
        <is>
          <t>Required for lineage where source available</t>
        </is>
      </c>
      <c r="P25" s="9" t="inlineStr">
        <is>
          <t>No physical PK/partition/clustering; small prototype</t>
        </is>
      </c>
      <c r="Q25" s="9" t="inlineStr">
        <is>
          <t>INSERT OVERWRITE after structural validation</t>
        </is>
      </c>
      <c r="R25" s="9" t="inlineStr">
        <is>
          <t>database/tables/bronze/trades.sql</t>
        </is>
      </c>
    </row>
    <row r="26" ht="34" customHeight="1">
      <c r="A26" s="8" t="inlineStr">
        <is>
          <t>cibc</t>
        </is>
      </c>
      <c r="B26" s="8" t="inlineStr">
        <is>
          <t>gold</t>
        </is>
      </c>
      <c r="C26" s="8" t="inlineStr">
        <is>
          <t>daily_pnl</t>
        </is>
      </c>
      <c r="D26" s="8" t="inlineStr">
        <is>
          <t>Daily book/symbol P&amp;L and valuation inputs</t>
        </is>
      </c>
      <c r="E26" s="8" t="inlineStr">
        <is>
          <t>Date + book + symbol + currency</t>
        </is>
      </c>
      <c r="F26" s="8" t="inlineStr">
        <is>
          <t>valuation_date + book_id + symbol + currency</t>
        </is>
      </c>
      <c r="G26" s="8" t="inlineStr">
        <is>
          <t>id</t>
        </is>
      </c>
      <c r="H26" s="8" t="inlineStr">
        <is>
          <t>BIGINT GENERATED ALWAYS AS IDENTITY</t>
        </is>
      </c>
      <c r="I26" s="8" t="inlineStr">
        <is>
          <t>N/A</t>
        </is>
      </c>
      <c r="J26" s="8" t="inlineStr">
        <is>
          <t>Generated</t>
        </is>
      </c>
      <c r="K26" s="8" t="inlineStr">
        <is>
          <t>None declared</t>
        </is>
      </c>
      <c r="L26" s="8" t="inlineStr">
        <is>
          <t>Delta identity surrogate</t>
        </is>
      </c>
      <c r="M26" s="8" t="inlineStr">
        <is>
          <t>Delta table engine</t>
        </is>
      </c>
      <c r="N26" s="8" t="inlineStr">
        <is>
          <t>GENERATED ALWAYS AS IDENTITY</t>
        </is>
      </c>
      <c r="O26" s="8" t="inlineStr">
        <is>
          <t>Not a business key; omitted from MERGE source</t>
        </is>
      </c>
      <c r="P26" s="8" t="inlineStr">
        <is>
          <t>No physical PK/partition/clustering</t>
        </is>
      </c>
      <c r="Q26" s="8" t="inlineStr">
        <is>
          <t>Conditional scoped MERGE reconciliation</t>
        </is>
      </c>
      <c r="R26" s="8" t="inlineStr">
        <is>
          <t>database/tables/gold/daily_pnl.sql</t>
        </is>
      </c>
    </row>
    <row r="27" ht="34" customHeight="1">
      <c r="A27" s="9" t="inlineStr">
        <is>
          <t>cibc</t>
        </is>
      </c>
      <c r="B27" s="9" t="inlineStr">
        <is>
          <t>gold</t>
        </is>
      </c>
      <c r="C27" s="9" t="inlineStr">
        <is>
          <t>daily_pnl</t>
        </is>
      </c>
      <c r="D27" s="9" t="inlineStr">
        <is>
          <t>Daily book/symbol P&amp;L and valuation inputs</t>
        </is>
      </c>
      <c r="E27" s="9" t="inlineStr">
        <is>
          <t>Date + book + symbol + currency</t>
        </is>
      </c>
      <c r="F27" s="9" t="inlineStr">
        <is>
          <t>valuation_date + book_id + symbol + currency</t>
        </is>
      </c>
      <c r="G27" s="9" t="inlineStr">
        <is>
          <t>valuation_date</t>
        </is>
      </c>
      <c r="H27" s="9" t="inlineStr">
        <is>
          <t>DATE</t>
        </is>
      </c>
      <c r="I27" s="9" t="inlineStr">
        <is>
          <t>N/A</t>
        </is>
      </c>
      <c r="J27" s="9" t="inlineStr">
        <is>
          <t>No</t>
        </is>
      </c>
      <c r="K27" s="9" t="inlineStr">
        <is>
          <t>None declared</t>
        </is>
      </c>
      <c r="L27" s="9" t="inlineStr">
        <is>
          <t>Date represented by position/P&amp;L/break</t>
        </is>
      </c>
      <c r="M27" s="9" t="inlineStr">
        <is>
          <t>Trade/calendar/price dates</t>
        </is>
      </c>
      <c r="N27" s="9" t="inlineStr">
        <is>
          <t>DATE</t>
        </is>
      </c>
      <c r="O27" s="9" t="inlineStr">
        <is>
          <t>Required in position and P&amp;L</t>
        </is>
      </c>
      <c r="P27" s="9" t="inlineStr">
        <is>
          <t>No physical PK/partition/clustering</t>
        </is>
      </c>
      <c r="Q27" s="9" t="inlineStr">
        <is>
          <t>Conditional scoped MERGE reconciliation</t>
        </is>
      </c>
      <c r="R27" s="9" t="inlineStr">
        <is>
          <t>database/tables/gold/daily_pnl.sql</t>
        </is>
      </c>
    </row>
    <row r="28" ht="34" customHeight="1">
      <c r="A28" s="8" t="inlineStr">
        <is>
          <t>cibc</t>
        </is>
      </c>
      <c r="B28" s="8" t="inlineStr">
        <is>
          <t>gold</t>
        </is>
      </c>
      <c r="C28" s="8" t="inlineStr">
        <is>
          <t>daily_pnl</t>
        </is>
      </c>
      <c r="D28" s="8" t="inlineStr">
        <is>
          <t>Daily book/symbol P&amp;L and valuation inputs</t>
        </is>
      </c>
      <c r="E28" s="8" t="inlineStr">
        <is>
          <t>Date + book + symbol + currency</t>
        </is>
      </c>
      <c r="F28" s="8" t="inlineStr">
        <is>
          <t>valuation_date + book_id + symbol + currency</t>
        </is>
      </c>
      <c r="G28" s="8" t="inlineStr">
        <is>
          <t>book_id</t>
        </is>
      </c>
      <c r="H28" s="8" t="inlineStr">
        <is>
          <t>STRING</t>
        </is>
      </c>
      <c r="I28" s="8" t="inlineStr">
        <is>
          <t>N/A</t>
        </is>
      </c>
      <c r="J28" s="8" t="inlineStr">
        <is>
          <t>No</t>
        </is>
      </c>
      <c r="K28" s="8" t="inlineStr">
        <is>
          <t>None declared</t>
        </is>
      </c>
      <c r="L28" s="8" t="inlineStr">
        <is>
          <t>Trading book identifier</t>
        </is>
      </c>
      <c r="M28" s="8" t="inlineStr">
        <is>
          <t>CSV.book_id</t>
        </is>
      </c>
      <c r="N28" s="8" t="inlineStr">
        <is>
          <t>Passed as opaque STRING</t>
        </is>
      </c>
      <c r="O28" s="8" t="inlineStr">
        <is>
          <t>Required/nonblank; book reference not persisted</t>
        </is>
      </c>
      <c r="P28" s="8" t="inlineStr">
        <is>
          <t>No physical PK/partition/clustering</t>
        </is>
      </c>
      <c r="Q28" s="8" t="inlineStr">
        <is>
          <t>Conditional scoped MERGE reconciliation</t>
        </is>
      </c>
      <c r="R28" s="8" t="inlineStr">
        <is>
          <t>database/tables/gold/daily_pnl.sql</t>
        </is>
      </c>
    </row>
    <row r="29" ht="34" customHeight="1">
      <c r="A29" s="9" t="inlineStr">
        <is>
          <t>cibc</t>
        </is>
      </c>
      <c r="B29" s="9" t="inlineStr">
        <is>
          <t>gold</t>
        </is>
      </c>
      <c r="C29" s="9" t="inlineStr">
        <is>
          <t>daily_pnl</t>
        </is>
      </c>
      <c r="D29" s="9" t="inlineStr">
        <is>
          <t>Daily book/symbol P&amp;L and valuation inputs</t>
        </is>
      </c>
      <c r="E29" s="9" t="inlineStr">
        <is>
          <t>Date + book + symbol + currency</t>
        </is>
      </c>
      <c r="F29" s="9" t="inlineStr">
        <is>
          <t>valuation_date + book_id + symbol + currency</t>
        </is>
      </c>
      <c r="G29" s="9" t="inlineStr">
        <is>
          <t>symbol</t>
        </is>
      </c>
      <c r="H29" s="9" t="inlineStr">
        <is>
          <t>STRING</t>
        </is>
      </c>
      <c r="I29" s="9" t="inlineStr">
        <is>
          <t>N/A</t>
        </is>
      </c>
      <c r="J29" s="9" t="inlineStr">
        <is>
          <t>No</t>
        </is>
      </c>
      <c r="K29" s="9" t="inlineStr">
        <is>
          <t>None declared</t>
        </is>
      </c>
      <c r="L29" s="9" t="inlineStr">
        <is>
          <t>Market ticker symbol</t>
        </is>
      </c>
      <c r="M29" s="9" t="inlineStr">
        <is>
          <t>CSV.symbol or configured instrument mapping</t>
        </is>
      </c>
      <c r="N29" s="9" t="inlineStr">
        <is>
          <t>Normalized/validated against instrument map</t>
        </is>
      </c>
      <c r="O29" s="9" t="inlineStr">
        <is>
          <t>Required; mapped and consistent</t>
        </is>
      </c>
      <c r="P29" s="9" t="inlineStr">
        <is>
          <t>No physical PK/partition/clustering</t>
        </is>
      </c>
      <c r="Q29" s="9" t="inlineStr">
        <is>
          <t>Conditional scoped MERGE reconciliation</t>
        </is>
      </c>
      <c r="R29" s="9" t="inlineStr">
        <is>
          <t>database/tables/gold/daily_pnl.sql</t>
        </is>
      </c>
    </row>
    <row r="30" ht="34" customHeight="1">
      <c r="A30" s="8" t="inlineStr">
        <is>
          <t>cibc</t>
        </is>
      </c>
      <c r="B30" s="8" t="inlineStr">
        <is>
          <t>gold</t>
        </is>
      </c>
      <c r="C30" s="8" t="inlineStr">
        <is>
          <t>daily_pnl</t>
        </is>
      </c>
      <c r="D30" s="8" t="inlineStr">
        <is>
          <t>Daily book/symbol P&amp;L and valuation inputs</t>
        </is>
      </c>
      <c r="E30" s="8" t="inlineStr">
        <is>
          <t>Date + book + symbol + currency</t>
        </is>
      </c>
      <c r="F30" s="8" t="inlineStr">
        <is>
          <t>valuation_date + book_id + symbol + currency</t>
        </is>
      </c>
      <c r="G30" s="8" t="inlineStr">
        <is>
          <t>currency</t>
        </is>
      </c>
      <c r="H30" s="8" t="inlineStr">
        <is>
          <t>STRING</t>
        </is>
      </c>
      <c r="I30" s="8" t="inlineStr">
        <is>
          <t>N/A</t>
        </is>
      </c>
      <c r="J30" s="8" t="inlineStr">
        <is>
          <t>No</t>
        </is>
      </c>
      <c r="K30" s="8" t="inlineStr">
        <is>
          <t>None declared</t>
        </is>
      </c>
      <c r="L30" s="8" t="inlineStr">
        <is>
          <t>Financial reporting currency</t>
        </is>
      </c>
      <c r="M30" s="8" t="inlineStr">
        <is>
          <t>Trade/price source</t>
        </is>
      </c>
      <c r="N30" s="8" t="inlineStr">
        <is>
          <t>USD-only prototype</t>
        </is>
      </c>
      <c r="O30" s="8" t="inlineStr">
        <is>
          <t>Required on core accepted/Gold data</t>
        </is>
      </c>
      <c r="P30" s="8" t="inlineStr">
        <is>
          <t>No physical PK/partition/clustering</t>
        </is>
      </c>
      <c r="Q30" s="8" t="inlineStr">
        <is>
          <t>Conditional scoped MERGE reconciliation</t>
        </is>
      </c>
      <c r="R30" s="8" t="inlineStr">
        <is>
          <t>database/tables/gold/daily_pnl.sql</t>
        </is>
      </c>
    </row>
    <row r="31" ht="34" customHeight="1">
      <c r="A31" s="9" t="inlineStr">
        <is>
          <t>cibc</t>
        </is>
      </c>
      <c r="B31" s="9" t="inlineStr">
        <is>
          <t>gold</t>
        </is>
      </c>
      <c r="C31" s="9" t="inlineStr">
        <is>
          <t>daily_pnl</t>
        </is>
      </c>
      <c r="D31" s="9" t="inlineStr">
        <is>
          <t>Daily book/symbol P&amp;L and valuation inputs</t>
        </is>
      </c>
      <c r="E31" s="9" t="inlineStr">
        <is>
          <t>Date + book + symbol + currency</t>
        </is>
      </c>
      <c r="F31" s="9" t="inlineStr">
        <is>
          <t>valuation_date + book_id + symbol + currency</t>
        </is>
      </c>
      <c r="G31" s="9" t="inlineStr">
        <is>
          <t>opening_quantity</t>
        </is>
      </c>
      <c r="H31" s="9" t="inlineStr">
        <is>
          <t>DECIMAL(28,6)</t>
        </is>
      </c>
      <c r="I31" s="9" t="inlineStr">
        <is>
          <t>28,6</t>
        </is>
      </c>
      <c r="J31" s="9" t="inlineStr">
        <is>
          <t>No</t>
        </is>
      </c>
      <c r="K31" s="9" t="inlineStr">
        <is>
          <t>None declared</t>
        </is>
      </c>
      <c r="L31" s="9" t="inlineStr">
        <is>
          <t>Position at start of valuation date</t>
        </is>
      </c>
      <c r="M31" s="9" t="inlineStr">
        <is>
          <t>Closing quantity - daily net quantity</t>
        </is>
      </c>
      <c r="N31" s="9" t="inlineStr">
        <is>
          <t>DECIMAL(28,6)</t>
        </is>
      </c>
      <c r="O31" s="9" t="inlineStr">
        <is>
          <t>Not null</t>
        </is>
      </c>
      <c r="P31" s="9" t="inlineStr">
        <is>
          <t>No physical PK/partition/clustering</t>
        </is>
      </c>
      <c r="Q31" s="9" t="inlineStr">
        <is>
          <t>Conditional scoped MERGE reconciliation</t>
        </is>
      </c>
      <c r="R31" s="9" t="inlineStr">
        <is>
          <t>database/tables/gold/daily_pnl.sql</t>
        </is>
      </c>
    </row>
    <row r="32" ht="34" customHeight="1">
      <c r="A32" s="8" t="inlineStr">
        <is>
          <t>cibc</t>
        </is>
      </c>
      <c r="B32" s="8" t="inlineStr">
        <is>
          <t>gold</t>
        </is>
      </c>
      <c r="C32" s="8" t="inlineStr">
        <is>
          <t>daily_pnl</t>
        </is>
      </c>
      <c r="D32" s="8" t="inlineStr">
        <is>
          <t>Daily book/symbol P&amp;L and valuation inputs</t>
        </is>
      </c>
      <c r="E32" s="8" t="inlineStr">
        <is>
          <t>Date + book + symbol + currency</t>
        </is>
      </c>
      <c r="F32" s="8" t="inlineStr">
        <is>
          <t>valuation_date + book_id + symbol + currency</t>
        </is>
      </c>
      <c r="G32" s="8" t="inlineStr">
        <is>
          <t>buy_quantity</t>
        </is>
      </c>
      <c r="H32" s="8" t="inlineStr">
        <is>
          <t>DECIMAL(28,6)</t>
        </is>
      </c>
      <c r="I32" s="8" t="inlineStr">
        <is>
          <t>28,6</t>
        </is>
      </c>
      <c r="J32" s="8" t="inlineStr">
        <is>
          <t>No</t>
        </is>
      </c>
      <c r="K32" s="8" t="inlineStr">
        <is>
          <t>None declared</t>
        </is>
      </c>
      <c r="L32" s="8" t="inlineStr">
        <is>
          <t>Daily buy flow at P&amp;L grain</t>
        </is>
      </c>
      <c r="M32" s="8" t="inlineStr">
        <is>
          <t>Gold positions.daily_buy_quantity</t>
        </is>
      </c>
      <c r="N32" s="8" t="inlineStr">
        <is>
          <t>Sum across counterparties; DECIMAL(28,6)</t>
        </is>
      </c>
      <c r="O32" s="8" t="inlineStr">
        <is>
          <t>Not null</t>
        </is>
      </c>
      <c r="P32" s="8" t="inlineStr">
        <is>
          <t>No physical PK/partition/clustering</t>
        </is>
      </c>
      <c r="Q32" s="8" t="inlineStr">
        <is>
          <t>Conditional scoped MERGE reconciliation</t>
        </is>
      </c>
      <c r="R32" s="8" t="inlineStr">
        <is>
          <t>database/tables/gold/daily_pnl.sql</t>
        </is>
      </c>
    </row>
    <row r="33" ht="34" customHeight="1">
      <c r="A33" s="9" t="inlineStr">
        <is>
          <t>cibc</t>
        </is>
      </c>
      <c r="B33" s="9" t="inlineStr">
        <is>
          <t>gold</t>
        </is>
      </c>
      <c r="C33" s="9" t="inlineStr">
        <is>
          <t>daily_pnl</t>
        </is>
      </c>
      <c r="D33" s="9" t="inlineStr">
        <is>
          <t>Daily book/symbol P&amp;L and valuation inputs</t>
        </is>
      </c>
      <c r="E33" s="9" t="inlineStr">
        <is>
          <t>Date + book + symbol + currency</t>
        </is>
      </c>
      <c r="F33" s="9" t="inlineStr">
        <is>
          <t>valuation_date + book_id + symbol + currency</t>
        </is>
      </c>
      <c r="G33" s="9" t="inlineStr">
        <is>
          <t>sell_quantity</t>
        </is>
      </c>
      <c r="H33" s="9" t="inlineStr">
        <is>
          <t>DECIMAL(28,6)</t>
        </is>
      </c>
      <c r="I33" s="9" t="inlineStr">
        <is>
          <t>28,6</t>
        </is>
      </c>
      <c r="J33" s="9" t="inlineStr">
        <is>
          <t>No</t>
        </is>
      </c>
      <c r="K33" s="9" t="inlineStr">
        <is>
          <t>None declared</t>
        </is>
      </c>
      <c r="L33" s="9" t="inlineStr">
        <is>
          <t>Daily sell flow at P&amp;L grain</t>
        </is>
      </c>
      <c r="M33" s="9" t="inlineStr">
        <is>
          <t>Gold positions.daily_sell_quantity</t>
        </is>
      </c>
      <c r="N33" s="9" t="inlineStr">
        <is>
          <t>Sum across counterparties; positive absolute amount</t>
        </is>
      </c>
      <c r="O33" s="9" t="inlineStr">
        <is>
          <t>Not null</t>
        </is>
      </c>
      <c r="P33" s="9" t="inlineStr">
        <is>
          <t>No physical PK/partition/clustering</t>
        </is>
      </c>
      <c r="Q33" s="9" t="inlineStr">
        <is>
          <t>Conditional scoped MERGE reconciliation</t>
        </is>
      </c>
      <c r="R33" s="9" t="inlineStr">
        <is>
          <t>database/tables/gold/daily_pnl.sql</t>
        </is>
      </c>
    </row>
    <row r="34" ht="34" customHeight="1">
      <c r="A34" s="8" t="inlineStr">
        <is>
          <t>cibc</t>
        </is>
      </c>
      <c r="B34" s="8" t="inlineStr">
        <is>
          <t>gold</t>
        </is>
      </c>
      <c r="C34" s="8" t="inlineStr">
        <is>
          <t>daily_pnl</t>
        </is>
      </c>
      <c r="D34" s="8" t="inlineStr">
        <is>
          <t>Daily book/symbol P&amp;L and valuation inputs</t>
        </is>
      </c>
      <c r="E34" s="8" t="inlineStr">
        <is>
          <t>Date + book + symbol + currency</t>
        </is>
      </c>
      <c r="F34" s="8" t="inlineStr">
        <is>
          <t>valuation_date + book_id + symbol + currency</t>
        </is>
      </c>
      <c r="G34" s="8" t="inlineStr">
        <is>
          <t>closing_quantity</t>
        </is>
      </c>
      <c r="H34" s="8" t="inlineStr">
        <is>
          <t>DECIMAL(28,6)</t>
        </is>
      </c>
      <c r="I34" s="8" t="inlineStr">
        <is>
          <t>28,6</t>
        </is>
      </c>
      <c r="J34" s="8" t="inlineStr">
        <is>
          <t>No</t>
        </is>
      </c>
      <c r="K34" s="8" t="inlineStr">
        <is>
          <t>None declared</t>
        </is>
      </c>
      <c r="L34" s="8" t="inlineStr">
        <is>
          <t>Closing position at P&amp;L grain</t>
        </is>
      </c>
      <c r="M34" s="8" t="inlineStr">
        <is>
          <t>Gold positions.closing_position_quantity</t>
        </is>
      </c>
      <c r="N34" s="8" t="inlineStr">
        <is>
          <t>Sum across counterparties</t>
        </is>
      </c>
      <c r="O34" s="8" t="inlineStr">
        <is>
          <t>Not null</t>
        </is>
      </c>
      <c r="P34" s="8" t="inlineStr">
        <is>
          <t>No physical PK/partition/clustering</t>
        </is>
      </c>
      <c r="Q34" s="8" t="inlineStr">
        <is>
          <t>Conditional scoped MERGE reconciliation</t>
        </is>
      </c>
      <c r="R34" s="8" t="inlineStr">
        <is>
          <t>database/tables/gold/daily_pnl.sql</t>
        </is>
      </c>
    </row>
    <row r="35" ht="34" customHeight="1">
      <c r="A35" s="9" t="inlineStr">
        <is>
          <t>cibc</t>
        </is>
      </c>
      <c r="B35" s="9" t="inlineStr">
        <is>
          <t>gold</t>
        </is>
      </c>
      <c r="C35" s="9" t="inlineStr">
        <is>
          <t>daily_pnl</t>
        </is>
      </c>
      <c r="D35" s="9" t="inlineStr">
        <is>
          <t>Daily book/symbol P&amp;L and valuation inputs</t>
        </is>
      </c>
      <c r="E35" s="9" t="inlineStr">
        <is>
          <t>Date + book + symbol + currency</t>
        </is>
      </c>
      <c r="F35" s="9" t="inlineStr">
        <is>
          <t>valuation_date + book_id + symbol + currency</t>
        </is>
      </c>
      <c r="G35" s="9" t="inlineStr">
        <is>
          <t>previous_close</t>
        </is>
      </c>
      <c r="H35" s="9" t="inlineStr">
        <is>
          <t>DECIMAL(18,6)</t>
        </is>
      </c>
      <c r="I35" s="9" t="inlineStr">
        <is>
          <t>18,6</t>
        </is>
      </c>
      <c r="J35" s="9" t="inlineStr">
        <is>
          <t>Yes</t>
        </is>
      </c>
      <c r="K35" s="9" t="inlineStr">
        <is>
          <t>None declared</t>
        </is>
      </c>
      <c r="L35" s="9" t="inlineStr">
        <is>
          <t>Latest available close strictly before valuation date</t>
        </is>
      </c>
      <c r="M35" s="9" t="inlineStr">
        <is>
          <t>Silver market_prices</t>
        </is>
      </c>
      <c r="N35" s="9" t="inlineStr">
        <is>
          <t>As-of prior-date join; DECIMAL(18,6)</t>
        </is>
      </c>
      <c r="O35" s="9" t="inlineStr">
        <is>
          <t>Nullable; required for nonzero opening position</t>
        </is>
      </c>
      <c r="P35" s="9" t="inlineStr">
        <is>
          <t>No physical PK/partition/clustering</t>
        </is>
      </c>
      <c r="Q35" s="9" t="inlineStr">
        <is>
          <t>Conditional scoped MERGE reconciliation</t>
        </is>
      </c>
      <c r="R35" s="9" t="inlineStr">
        <is>
          <t>database/tables/gold/daily_pnl.sql</t>
        </is>
      </c>
    </row>
    <row r="36" ht="34" customHeight="1">
      <c r="A36" s="8" t="inlineStr">
        <is>
          <t>cibc</t>
        </is>
      </c>
      <c r="B36" s="8" t="inlineStr">
        <is>
          <t>gold</t>
        </is>
      </c>
      <c r="C36" s="8" t="inlineStr">
        <is>
          <t>daily_pnl</t>
        </is>
      </c>
      <c r="D36" s="8" t="inlineStr">
        <is>
          <t>Daily book/symbol P&amp;L and valuation inputs</t>
        </is>
      </c>
      <c r="E36" s="8" t="inlineStr">
        <is>
          <t>Date + book + symbol + currency</t>
        </is>
      </c>
      <c r="F36" s="8" t="inlineStr">
        <is>
          <t>valuation_date + book_id + symbol + currency</t>
        </is>
      </c>
      <c r="G36" s="8" t="inlineStr">
        <is>
          <t>current_close</t>
        </is>
      </c>
      <c r="H36" s="8" t="inlineStr">
        <is>
          <t>DECIMAL(18,6)</t>
        </is>
      </c>
      <c r="I36" s="8" t="inlineStr">
        <is>
          <t>18,6</t>
        </is>
      </c>
      <c r="J36" s="8" t="inlineStr">
        <is>
          <t>Yes</t>
        </is>
      </c>
      <c r="K36" s="8" t="inlineStr">
        <is>
          <t>None declared</t>
        </is>
      </c>
      <c r="L36" s="8" t="inlineStr">
        <is>
          <t>Exact-date close</t>
        </is>
      </c>
      <c r="M36" s="8" t="inlineStr">
        <is>
          <t>Silver market_prices</t>
        </is>
      </c>
      <c r="N36" s="8" t="inlineStr">
        <is>
          <t>Join symbol/date/currency; DECIMAL(18,6)</t>
        </is>
      </c>
      <c r="O36" s="8" t="inlineStr">
        <is>
          <t>Nullable; required for daily P&amp;L</t>
        </is>
      </c>
      <c r="P36" s="8" t="inlineStr">
        <is>
          <t>No physical PK/partition/clustering</t>
        </is>
      </c>
      <c r="Q36" s="8" t="inlineStr">
        <is>
          <t>Conditional scoped MERGE reconciliation</t>
        </is>
      </c>
      <c r="R36" s="8" t="inlineStr">
        <is>
          <t>database/tables/gold/daily_pnl.sql</t>
        </is>
      </c>
    </row>
    <row r="37" ht="34" customHeight="1">
      <c r="A37" s="9" t="inlineStr">
        <is>
          <t>cibc</t>
        </is>
      </c>
      <c r="B37" s="9" t="inlineStr">
        <is>
          <t>gold</t>
        </is>
      </c>
      <c r="C37" s="9" t="inlineStr">
        <is>
          <t>daily_pnl</t>
        </is>
      </c>
      <c r="D37" s="9" t="inlineStr">
        <is>
          <t>Daily book/symbol P&amp;L and valuation inputs</t>
        </is>
      </c>
      <c r="E37" s="9" t="inlineStr">
        <is>
          <t>Date + book + symbol + currency</t>
        </is>
      </c>
      <c r="F37" s="9" t="inlineStr">
        <is>
          <t>valuation_date + book_id + symbol + currency</t>
        </is>
      </c>
      <c r="G37" s="9" t="inlineStr">
        <is>
          <t>market_value</t>
        </is>
      </c>
      <c r="H37" s="9" t="inlineStr">
        <is>
          <t>DECIMAL(38,6)</t>
        </is>
      </c>
      <c r="I37" s="9" t="inlineStr">
        <is>
          <t>38,6</t>
        </is>
      </c>
      <c r="J37" s="9" t="inlineStr">
        <is>
          <t>Yes</t>
        </is>
      </c>
      <c r="K37" s="9" t="inlineStr">
        <is>
          <t>None declared</t>
        </is>
      </c>
      <c r="L37" s="9" t="inlineStr">
        <is>
          <t>Position market value</t>
        </is>
      </c>
      <c r="M37" s="9" t="inlineStr">
        <is>
          <t>Closing quantity * closing price</t>
        </is>
      </c>
      <c r="N37" s="9" t="inlineStr">
        <is>
          <t>DECIMAL(38,6)</t>
        </is>
      </c>
      <c r="O37" s="9" t="inlineStr">
        <is>
          <t>Nullable when close is missing</t>
        </is>
      </c>
      <c r="P37" s="9" t="inlineStr">
        <is>
          <t>No physical PK/partition/clustering</t>
        </is>
      </c>
      <c r="Q37" s="9" t="inlineStr">
        <is>
          <t>Conditional scoped MERGE reconciliation</t>
        </is>
      </c>
      <c r="R37" s="9" t="inlineStr">
        <is>
          <t>database/tables/gold/daily_pnl.sql</t>
        </is>
      </c>
    </row>
    <row r="38" ht="34" customHeight="1">
      <c r="A38" s="8" t="inlineStr">
        <is>
          <t>cibc</t>
        </is>
      </c>
      <c r="B38" s="8" t="inlineStr">
        <is>
          <t>gold</t>
        </is>
      </c>
      <c r="C38" s="8" t="inlineStr">
        <is>
          <t>daily_pnl</t>
        </is>
      </c>
      <c r="D38" s="8" t="inlineStr">
        <is>
          <t>Daily book/symbol P&amp;L and valuation inputs</t>
        </is>
      </c>
      <c r="E38" s="8" t="inlineStr">
        <is>
          <t>Date + book + symbol + currency</t>
        </is>
      </c>
      <c r="F38" s="8" t="inlineStr">
        <is>
          <t>valuation_date + book_id + symbol + currency</t>
        </is>
      </c>
      <c r="G38" s="8" t="inlineStr">
        <is>
          <t>unrealized_pnl_proxy</t>
        </is>
      </c>
      <c r="H38" s="8" t="inlineStr">
        <is>
          <t>DECIMAL(38,6)</t>
        </is>
      </c>
      <c r="I38" s="8" t="inlineStr">
        <is>
          <t>38,6</t>
        </is>
      </c>
      <c r="J38" s="8" t="inlineStr">
        <is>
          <t>Yes</t>
        </is>
      </c>
      <c r="K38" s="8" t="inlineStr">
        <is>
          <t>None declared</t>
        </is>
      </c>
      <c r="L38" s="8" t="inlineStr">
        <is>
          <t>Cumulative mark-to-market less signed trade consideration proxy</t>
        </is>
      </c>
      <c r="M38" s="8" t="inlineStr">
        <is>
          <t>Gold valuation and trade cash flows</t>
        </is>
      </c>
      <c r="N38" s="8" t="inlineStr">
        <is>
          <t>DECIMAL(38,6); includes realized effects and is not true unrealized P&amp;L</t>
        </is>
      </c>
      <c r="O38" s="8" t="inlineStr">
        <is>
          <t>Nullable when current valuation unavailable</t>
        </is>
      </c>
      <c r="P38" s="8" t="inlineStr">
        <is>
          <t>No physical PK/partition/clustering</t>
        </is>
      </c>
      <c r="Q38" s="8" t="inlineStr">
        <is>
          <t>Conditional scoped MERGE reconciliation</t>
        </is>
      </c>
      <c r="R38" s="8" t="inlineStr">
        <is>
          <t>database/tables/gold/daily_pnl.sql</t>
        </is>
      </c>
    </row>
    <row r="39" ht="34" customHeight="1">
      <c r="A39" s="9" t="inlineStr">
        <is>
          <t>cibc</t>
        </is>
      </c>
      <c r="B39" s="9" t="inlineStr">
        <is>
          <t>gold</t>
        </is>
      </c>
      <c r="C39" s="9" t="inlineStr">
        <is>
          <t>daily_pnl</t>
        </is>
      </c>
      <c r="D39" s="9" t="inlineStr">
        <is>
          <t>Daily book/symbol P&amp;L and valuation inputs</t>
        </is>
      </c>
      <c r="E39" s="9" t="inlineStr">
        <is>
          <t>Date + book + symbol + currency</t>
        </is>
      </c>
      <c r="F39" s="9" t="inlineStr">
        <is>
          <t>valuation_date + book_id + symbol + currency</t>
        </is>
      </c>
      <c r="G39" s="9" t="inlineStr">
        <is>
          <t>daily_pnl</t>
        </is>
      </c>
      <c r="H39" s="9" t="inlineStr">
        <is>
          <t>DECIMAL(38,6)</t>
        </is>
      </c>
      <c r="I39" s="9" t="inlineStr">
        <is>
          <t>38,6</t>
        </is>
      </c>
      <c r="J39" s="9" t="inlineStr">
        <is>
          <t>Yes</t>
        </is>
      </c>
      <c r="K39" s="9" t="inlineStr">
        <is>
          <t>None declared</t>
        </is>
      </c>
      <c r="L39" s="9" t="inlineStr">
        <is>
          <t>Daily simplified cash-equity P&amp;L</t>
        </is>
      </c>
      <c r="M39" s="9" t="inlineStr">
        <is>
          <t>Opening position, current/prior closes, signed trade cash flow</t>
        </is>
      </c>
      <c r="N39" s="9" t="inlineStr">
        <is>
          <t>DECIMAL(38,6)</t>
        </is>
      </c>
      <c r="O39" s="9" t="inlineStr">
        <is>
          <t>Nullable when required price/baseline unavailable</t>
        </is>
      </c>
      <c r="P39" s="9" t="inlineStr">
        <is>
          <t>No physical PK/partition/clustering</t>
        </is>
      </c>
      <c r="Q39" s="9" t="inlineStr">
        <is>
          <t>Conditional scoped MERGE reconciliation</t>
        </is>
      </c>
      <c r="R39" s="9" t="inlineStr">
        <is>
          <t>database/tables/gold/daily_pnl.sql</t>
        </is>
      </c>
    </row>
    <row r="40" ht="34" customHeight="1">
      <c r="A40" s="8" t="inlineStr">
        <is>
          <t>cibc</t>
        </is>
      </c>
      <c r="B40" s="8" t="inlineStr">
        <is>
          <t>gold</t>
        </is>
      </c>
      <c r="C40" s="8" t="inlineStr">
        <is>
          <t>daily_pnl</t>
        </is>
      </c>
      <c r="D40" s="8" t="inlineStr">
        <is>
          <t>Daily book/symbol P&amp;L and valuation inputs</t>
        </is>
      </c>
      <c r="E40" s="8" t="inlineStr">
        <is>
          <t>Date + book + symbol + currency</t>
        </is>
      </c>
      <c r="F40" s="8" t="inlineStr">
        <is>
          <t>valuation_date + book_id + symbol + currency</t>
        </is>
      </c>
      <c r="G40" s="8" t="inlineStr">
        <is>
          <t>calculation_status</t>
        </is>
      </c>
      <c r="H40" s="8" t="inlineStr">
        <is>
          <t>STRING</t>
        </is>
      </c>
      <c r="I40" s="8" t="inlineStr">
        <is>
          <t>N/A</t>
        </is>
      </c>
      <c r="J40" s="8" t="inlineStr">
        <is>
          <t>No</t>
        </is>
      </c>
      <c r="K40" s="8" t="inlineStr">
        <is>
          <t>None declared</t>
        </is>
      </c>
      <c r="L40" s="8" t="inlineStr">
        <is>
          <t>Completeness status for daily P&amp;L row</t>
        </is>
      </c>
      <c r="M40" s="8" t="inlineStr">
        <is>
          <t>Price/baseline availability</t>
        </is>
      </c>
      <c r="N40" s="8" t="inlineStr">
        <is>
          <t>COMPLETE, MISSING_CURRENT_PRICE, MISSING_BASELINE</t>
        </is>
      </c>
      <c r="O40" s="8" t="inlineStr">
        <is>
          <t>Required</t>
        </is>
      </c>
      <c r="P40" s="8" t="inlineStr">
        <is>
          <t>No physical PK/partition/clustering</t>
        </is>
      </c>
      <c r="Q40" s="8" t="inlineStr">
        <is>
          <t>Conditional scoped MERGE reconciliation</t>
        </is>
      </c>
      <c r="R40" s="8" t="inlineStr">
        <is>
          <t>database/tables/gold/daily_pnl.sql</t>
        </is>
      </c>
    </row>
    <row r="41" ht="34" customHeight="1">
      <c r="A41" s="9" t="inlineStr">
        <is>
          <t>cibc</t>
        </is>
      </c>
      <c r="B41" s="9" t="inlineStr">
        <is>
          <t>gold</t>
        </is>
      </c>
      <c r="C41" s="9" t="inlineStr">
        <is>
          <t>daily_pnl</t>
        </is>
      </c>
      <c r="D41" s="9" t="inlineStr">
        <is>
          <t>Daily book/symbol P&amp;L and valuation inputs</t>
        </is>
      </c>
      <c r="E41" s="9" t="inlineStr">
        <is>
          <t>Date + book + symbol + currency</t>
        </is>
      </c>
      <c r="F41" s="9" t="inlineStr">
        <is>
          <t>valuation_date + book_id + symbol + currency</t>
        </is>
      </c>
      <c r="G41" s="9" t="inlineStr">
        <is>
          <t>run_id</t>
        </is>
      </c>
      <c r="H41" s="9" t="inlineStr">
        <is>
          <t>STRING</t>
        </is>
      </c>
      <c r="I41" s="9" t="inlineStr">
        <is>
          <t>N/A</t>
        </is>
      </c>
      <c r="J41" s="9" t="inlineStr">
        <is>
          <t>Yes</t>
        </is>
      </c>
      <c r="K41" s="9" t="inlineStr">
        <is>
          <t>None declared</t>
        </is>
      </c>
      <c r="L41" s="9" t="inlineStr">
        <is>
          <t>Pipeline run identifier</t>
        </is>
      </c>
      <c r="M41" s="9" t="inlineStr">
        <is>
          <t>Databricks Job run id</t>
        </is>
      </c>
      <c r="N41" s="9" t="inlineStr">
        <is>
          <t>Passed to task and persisted</t>
        </is>
      </c>
      <c r="O41" s="9" t="inlineStr">
        <is>
          <t>Required for lineage where source available</t>
        </is>
      </c>
      <c r="P41" s="9" t="inlineStr">
        <is>
          <t>No physical PK/partition/clustering</t>
        </is>
      </c>
      <c r="Q41" s="9" t="inlineStr">
        <is>
          <t>Conditional scoped MERGE reconciliation</t>
        </is>
      </c>
      <c r="R41" s="9" t="inlineStr">
        <is>
          <t>database/tables/gold/daily_pnl.sql</t>
        </is>
      </c>
    </row>
    <row r="42" ht="34" customHeight="1">
      <c r="A42" s="8" t="inlineStr">
        <is>
          <t>cibc</t>
        </is>
      </c>
      <c r="B42" s="8" t="inlineStr">
        <is>
          <t>gold</t>
        </is>
      </c>
      <c r="C42" s="8" t="inlineStr">
        <is>
          <t>daily_pnl</t>
        </is>
      </c>
      <c r="D42" s="8" t="inlineStr">
        <is>
          <t>Daily book/symbol P&amp;L and valuation inputs</t>
        </is>
      </c>
      <c r="E42" s="8" t="inlineStr">
        <is>
          <t>Date + book + symbol + currency</t>
        </is>
      </c>
      <c r="F42" s="8" t="inlineStr">
        <is>
          <t>valuation_date + book_id + symbol + currency</t>
        </is>
      </c>
      <c r="G42" s="8" t="inlineStr">
        <is>
          <t>calculated_at</t>
        </is>
      </c>
      <c r="H42" s="8" t="inlineStr">
        <is>
          <t>TIMESTAMP</t>
        </is>
      </c>
      <c r="I42" s="8" t="inlineStr">
        <is>
          <t>N/A</t>
        </is>
      </c>
      <c r="J42" s="8" t="inlineStr">
        <is>
          <t>Yes</t>
        </is>
      </c>
      <c r="K42" s="8" t="inlineStr">
        <is>
          <t>None declared</t>
        </is>
      </c>
      <c r="L42" s="8" t="inlineStr">
        <is>
          <t>Calculation timestamp</t>
        </is>
      </c>
      <c r="M42" s="8" t="inlineStr">
        <is>
          <t>Gold processor runtime</t>
        </is>
      </c>
      <c r="N42" s="8" t="inlineStr">
        <is>
          <t>current_timestamp</t>
        </is>
      </c>
      <c r="O42" s="8" t="inlineStr">
        <is>
          <t>Nullable in DDL</t>
        </is>
      </c>
      <c r="P42" s="8" t="inlineStr">
        <is>
          <t>No physical PK/partition/clustering</t>
        </is>
      </c>
      <c r="Q42" s="8" t="inlineStr">
        <is>
          <t>Conditional scoped MERGE reconciliation</t>
        </is>
      </c>
      <c r="R42" s="8" t="inlineStr">
        <is>
          <t>database/tables/gold/daily_pnl.sql</t>
        </is>
      </c>
    </row>
    <row r="43" ht="34" customHeight="1">
      <c r="A43" s="9" t="inlineStr">
        <is>
          <t>cibc</t>
        </is>
      </c>
      <c r="B43" s="9" t="inlineStr">
        <is>
          <t>gold</t>
        </is>
      </c>
      <c r="C43" s="9" t="inlineStr">
        <is>
          <t>pipeline_run_log</t>
        </is>
      </c>
      <c r="D43" s="9" t="inlineStr">
        <is>
          <t>Task-attempt audit and row/error metrics</t>
        </is>
      </c>
      <c r="E43" s="9" t="inlineStr">
        <is>
          <t>One Job task attempt</t>
        </is>
      </c>
      <c r="F43" s="9" t="inlineStr">
        <is>
          <t>run_id + task_run_id</t>
        </is>
      </c>
      <c r="G43" s="9" t="inlineStr">
        <is>
          <t>id</t>
        </is>
      </c>
      <c r="H43" s="9" t="inlineStr">
        <is>
          <t>BIGINT GENERATED ALWAYS AS IDENTITY</t>
        </is>
      </c>
      <c r="I43" s="9" t="inlineStr">
        <is>
          <t>N/A</t>
        </is>
      </c>
      <c r="J43" s="9" t="inlineStr">
        <is>
          <t>Generated</t>
        </is>
      </c>
      <c r="K43" s="9" t="inlineStr">
        <is>
          <t>None declared</t>
        </is>
      </c>
      <c r="L43" s="9" t="inlineStr">
        <is>
          <t>Delta identity surrogate</t>
        </is>
      </c>
      <c r="M43" s="9" t="inlineStr">
        <is>
          <t>Delta table engine</t>
        </is>
      </c>
      <c r="N43" s="9" t="inlineStr">
        <is>
          <t>GENERATED ALWAYS AS IDENTITY</t>
        </is>
      </c>
      <c r="O43" s="9" t="inlineStr">
        <is>
          <t>Not a business key; omitted from MERGE source</t>
        </is>
      </c>
      <c r="P43" s="9" t="inlineStr">
        <is>
          <t>No physical PK/partition/clustering</t>
        </is>
      </c>
      <c r="Q43" s="9" t="inlineStr">
        <is>
          <t>MERGE STARTED/metrics/SUCCESS or FAILED</t>
        </is>
      </c>
      <c r="R43" s="9" t="inlineStr">
        <is>
          <t>database/tables/gold/pipeline_run_log.sql</t>
        </is>
      </c>
    </row>
    <row r="44" ht="34" customHeight="1">
      <c r="A44" s="8" t="inlineStr">
        <is>
          <t>cibc</t>
        </is>
      </c>
      <c r="B44" s="8" t="inlineStr">
        <is>
          <t>gold</t>
        </is>
      </c>
      <c r="C44" s="8" t="inlineStr">
        <is>
          <t>pipeline_run_log</t>
        </is>
      </c>
      <c r="D44" s="8" t="inlineStr">
        <is>
          <t>Task-attempt audit and row/error metrics</t>
        </is>
      </c>
      <c r="E44" s="8" t="inlineStr">
        <is>
          <t>One Job task attempt</t>
        </is>
      </c>
      <c r="F44" s="8" t="inlineStr">
        <is>
          <t>run_id + task_run_id</t>
        </is>
      </c>
      <c r="G44" s="8" t="inlineStr">
        <is>
          <t>run_id</t>
        </is>
      </c>
      <c r="H44" s="8" t="inlineStr">
        <is>
          <t>STRING</t>
        </is>
      </c>
      <c r="I44" s="8" t="inlineStr">
        <is>
          <t>N/A</t>
        </is>
      </c>
      <c r="J44" s="8" t="inlineStr">
        <is>
          <t>Yes</t>
        </is>
      </c>
      <c r="K44" s="8" t="inlineStr">
        <is>
          <t>None declared</t>
        </is>
      </c>
      <c r="L44" s="8" t="inlineStr">
        <is>
          <t>Pipeline run identifier</t>
        </is>
      </c>
      <c r="M44" s="8" t="inlineStr">
        <is>
          <t>Databricks Job run id</t>
        </is>
      </c>
      <c r="N44" s="8" t="inlineStr">
        <is>
          <t>Passed to task and persisted</t>
        </is>
      </c>
      <c r="O44" s="8" t="inlineStr">
        <is>
          <t>Required for lineage where source available</t>
        </is>
      </c>
      <c r="P44" s="8" t="inlineStr">
        <is>
          <t>No physical PK/partition/clustering</t>
        </is>
      </c>
      <c r="Q44" s="8" t="inlineStr">
        <is>
          <t>MERGE STARTED/metrics/SUCCESS or FAILED</t>
        </is>
      </c>
      <c r="R44" s="8" t="inlineStr">
        <is>
          <t>database/tables/gold/pipeline_run_log.sql</t>
        </is>
      </c>
    </row>
    <row r="45" ht="34" customHeight="1">
      <c r="A45" s="9" t="inlineStr">
        <is>
          <t>cibc</t>
        </is>
      </c>
      <c r="B45" s="9" t="inlineStr">
        <is>
          <t>gold</t>
        </is>
      </c>
      <c r="C45" s="9" t="inlineStr">
        <is>
          <t>pipeline_run_log</t>
        </is>
      </c>
      <c r="D45" s="9" t="inlineStr">
        <is>
          <t>Task-attempt audit and row/error metrics</t>
        </is>
      </c>
      <c r="E45" s="9" t="inlineStr">
        <is>
          <t>One Job task attempt</t>
        </is>
      </c>
      <c r="F45" s="9" t="inlineStr">
        <is>
          <t>run_id + task_run_id</t>
        </is>
      </c>
      <c r="G45" s="9" t="inlineStr">
        <is>
          <t>task_run_id</t>
        </is>
      </c>
      <c r="H45" s="9" t="inlineStr">
        <is>
          <t>STRING</t>
        </is>
      </c>
      <c r="I45" s="9" t="inlineStr">
        <is>
          <t>N/A</t>
        </is>
      </c>
      <c r="J45" s="9" t="inlineStr">
        <is>
          <t>Yes</t>
        </is>
      </c>
      <c r="K45" s="9" t="inlineStr">
        <is>
          <t>None declared</t>
        </is>
      </c>
      <c r="L45" s="9" t="inlineStr">
        <is>
          <t>Databricks task attempt identifier</t>
        </is>
      </c>
      <c r="M45" s="9" t="inlineStr">
        <is>
          <t>Task context</t>
        </is>
      </c>
      <c r="N45" s="9" t="inlineStr">
        <is>
          <t>Task run plus execution count where available</t>
        </is>
      </c>
      <c r="O45" s="9" t="inlineStr">
        <is>
          <t>Logical audit key with run_id</t>
        </is>
      </c>
      <c r="P45" s="9" t="inlineStr">
        <is>
          <t>No physical PK/partition/clustering</t>
        </is>
      </c>
      <c r="Q45" s="9" t="inlineStr">
        <is>
          <t>MERGE STARTED/metrics/SUCCESS or FAILED</t>
        </is>
      </c>
      <c r="R45" s="9" t="inlineStr">
        <is>
          <t>database/tables/gold/pipeline_run_log.sql</t>
        </is>
      </c>
    </row>
    <row r="46" ht="34" customHeight="1">
      <c r="A46" s="8" t="inlineStr">
        <is>
          <t>cibc</t>
        </is>
      </c>
      <c r="B46" s="8" t="inlineStr">
        <is>
          <t>gold</t>
        </is>
      </c>
      <c r="C46" s="8" t="inlineStr">
        <is>
          <t>pipeline_run_log</t>
        </is>
      </c>
      <c r="D46" s="8" t="inlineStr">
        <is>
          <t>Task-attempt audit and row/error metrics</t>
        </is>
      </c>
      <c r="E46" s="8" t="inlineStr">
        <is>
          <t>One Job task attempt</t>
        </is>
      </c>
      <c r="F46" s="8" t="inlineStr">
        <is>
          <t>run_id + task_run_id</t>
        </is>
      </c>
      <c r="G46" s="8" t="inlineStr">
        <is>
          <t>task_name</t>
        </is>
      </c>
      <c r="H46" s="8" t="inlineStr">
        <is>
          <t>STRING</t>
        </is>
      </c>
      <c r="I46" s="8" t="inlineStr">
        <is>
          <t>N/A</t>
        </is>
      </c>
      <c r="J46" s="8" t="inlineStr">
        <is>
          <t>Yes</t>
        </is>
      </c>
      <c r="K46" s="8" t="inlineStr">
        <is>
          <t>None declared</t>
        </is>
      </c>
      <c r="L46" s="8" t="inlineStr">
        <is>
          <t>Workflow task name</t>
        </is>
      </c>
      <c r="M46" s="8" t="inlineStr">
        <is>
          <t>Bundle task_key</t>
        </is>
      </c>
      <c r="N46" s="8" t="inlineStr">
        <is>
          <t>Recorded by audited wrapper</t>
        </is>
      </c>
      <c r="O46" s="8" t="inlineStr">
        <is>
          <t>Required by contract</t>
        </is>
      </c>
      <c r="P46" s="8" t="inlineStr">
        <is>
          <t>No physical PK/partition/clustering</t>
        </is>
      </c>
      <c r="Q46" s="8" t="inlineStr">
        <is>
          <t>MERGE STARTED/metrics/SUCCESS or FAILED</t>
        </is>
      </c>
      <c r="R46" s="8" t="inlineStr">
        <is>
          <t>database/tables/gold/pipeline_run_log.sql</t>
        </is>
      </c>
    </row>
    <row r="47" ht="34" customHeight="1">
      <c r="A47" s="9" t="inlineStr">
        <is>
          <t>cibc</t>
        </is>
      </c>
      <c r="B47" s="9" t="inlineStr">
        <is>
          <t>gold</t>
        </is>
      </c>
      <c r="C47" s="9" t="inlineStr">
        <is>
          <t>pipeline_run_log</t>
        </is>
      </c>
      <c r="D47" s="9" t="inlineStr">
        <is>
          <t>Task-attempt audit and row/error metrics</t>
        </is>
      </c>
      <c r="E47" s="9" t="inlineStr">
        <is>
          <t>One Job task attempt</t>
        </is>
      </c>
      <c r="F47" s="9" t="inlineStr">
        <is>
          <t>run_id + task_run_id</t>
        </is>
      </c>
      <c r="G47" s="9" t="inlineStr">
        <is>
          <t>run_date</t>
        </is>
      </c>
      <c r="H47" s="9" t="inlineStr">
        <is>
          <t>DATE</t>
        </is>
      </c>
      <c r="I47" s="9" t="inlineStr">
        <is>
          <t>N/A</t>
        </is>
      </c>
      <c r="J47" s="9" t="inlineStr">
        <is>
          <t>Yes</t>
        </is>
      </c>
      <c r="K47" s="9" t="inlineStr">
        <is>
          <t>None declared</t>
        </is>
      </c>
      <c r="L47" s="9" t="inlineStr">
        <is>
          <t>UTC date task attempt started</t>
        </is>
      </c>
      <c r="M47" s="9" t="inlineStr">
        <is>
          <t>started_at</t>
        </is>
      </c>
      <c r="N47" s="9" t="inlineStr">
        <is>
          <t>Derived in audit helper</t>
        </is>
      </c>
      <c r="O47" s="9" t="inlineStr">
        <is>
          <t>Required by contract</t>
        </is>
      </c>
      <c r="P47" s="9" t="inlineStr">
        <is>
          <t>No physical PK/partition/clustering</t>
        </is>
      </c>
      <c r="Q47" s="9" t="inlineStr">
        <is>
          <t>MERGE STARTED/metrics/SUCCESS or FAILED</t>
        </is>
      </c>
      <c r="R47" s="9" t="inlineStr">
        <is>
          <t>database/tables/gold/pipeline_run_log.sql</t>
        </is>
      </c>
    </row>
    <row r="48" ht="34" customHeight="1">
      <c r="A48" s="8" t="inlineStr">
        <is>
          <t>cibc</t>
        </is>
      </c>
      <c r="B48" s="8" t="inlineStr">
        <is>
          <t>gold</t>
        </is>
      </c>
      <c r="C48" s="8" t="inlineStr">
        <is>
          <t>pipeline_run_log</t>
        </is>
      </c>
      <c r="D48" s="8" t="inlineStr">
        <is>
          <t>Task-attempt audit and row/error metrics</t>
        </is>
      </c>
      <c r="E48" s="8" t="inlineStr">
        <is>
          <t>One Job task attempt</t>
        </is>
      </c>
      <c r="F48" s="8" t="inlineStr">
        <is>
          <t>run_id + task_run_id</t>
        </is>
      </c>
      <c r="G48" s="8" t="inlineStr">
        <is>
          <t>started_at</t>
        </is>
      </c>
      <c r="H48" s="8" t="inlineStr">
        <is>
          <t>TIMESTAMP</t>
        </is>
      </c>
      <c r="I48" s="8" t="inlineStr">
        <is>
          <t>N/A</t>
        </is>
      </c>
      <c r="J48" s="8" t="inlineStr">
        <is>
          <t>Yes</t>
        </is>
      </c>
      <c r="K48" s="8" t="inlineStr">
        <is>
          <t>None declared</t>
        </is>
      </c>
      <c r="L48" s="8" t="inlineStr">
        <is>
          <t>Task attempt start timestamp</t>
        </is>
      </c>
      <c r="M48" s="8" t="inlineStr">
        <is>
          <t>Audit helper UTC clock</t>
        </is>
      </c>
      <c r="N48" s="8" t="inlineStr">
        <is>
          <t>datetime.now(timezone.utc)</t>
        </is>
      </c>
      <c r="O48" s="8" t="inlineStr">
        <is>
          <t>Required by contract</t>
        </is>
      </c>
      <c r="P48" s="8" t="inlineStr">
        <is>
          <t>No physical PK/partition/clustering</t>
        </is>
      </c>
      <c r="Q48" s="8" t="inlineStr">
        <is>
          <t>MERGE STARTED/metrics/SUCCESS or FAILED</t>
        </is>
      </c>
      <c r="R48" s="8" t="inlineStr">
        <is>
          <t>database/tables/gold/pipeline_run_log.sql</t>
        </is>
      </c>
    </row>
    <row r="49" ht="34" customHeight="1">
      <c r="A49" s="9" t="inlineStr">
        <is>
          <t>cibc</t>
        </is>
      </c>
      <c r="B49" s="9" t="inlineStr">
        <is>
          <t>gold</t>
        </is>
      </c>
      <c r="C49" s="9" t="inlineStr">
        <is>
          <t>pipeline_run_log</t>
        </is>
      </c>
      <c r="D49" s="9" t="inlineStr">
        <is>
          <t>Task-attempt audit and row/error metrics</t>
        </is>
      </c>
      <c r="E49" s="9" t="inlineStr">
        <is>
          <t>One Job task attempt</t>
        </is>
      </c>
      <c r="F49" s="9" t="inlineStr">
        <is>
          <t>run_id + task_run_id</t>
        </is>
      </c>
      <c r="G49" s="9" t="inlineStr">
        <is>
          <t>finished_at</t>
        </is>
      </c>
      <c r="H49" s="9" t="inlineStr">
        <is>
          <t>TIMESTAMP</t>
        </is>
      </c>
      <c r="I49" s="9" t="inlineStr">
        <is>
          <t>N/A</t>
        </is>
      </c>
      <c r="J49" s="9" t="inlineStr">
        <is>
          <t>Yes</t>
        </is>
      </c>
      <c r="K49" s="9" t="inlineStr">
        <is>
          <t>None declared</t>
        </is>
      </c>
      <c r="L49" s="9" t="inlineStr">
        <is>
          <t>Task attempt completion timestamp</t>
        </is>
      </c>
      <c r="M49" s="9" t="inlineStr">
        <is>
          <t>Audit helper UTC clock</t>
        </is>
      </c>
      <c r="N49" s="9" t="inlineStr">
        <is>
          <t>Set on success/failure</t>
        </is>
      </c>
      <c r="O49" s="9" t="inlineStr">
        <is>
          <t>Nullable while STARTED</t>
        </is>
      </c>
      <c r="P49" s="9" t="inlineStr">
        <is>
          <t>No physical PK/partition/clustering</t>
        </is>
      </c>
      <c r="Q49" s="9" t="inlineStr">
        <is>
          <t>MERGE STARTED/metrics/SUCCESS or FAILED</t>
        </is>
      </c>
      <c r="R49" s="9" t="inlineStr">
        <is>
          <t>database/tables/gold/pipeline_run_log.sql</t>
        </is>
      </c>
    </row>
    <row r="50" ht="34" customHeight="1">
      <c r="A50" s="8" t="inlineStr">
        <is>
          <t>cibc</t>
        </is>
      </c>
      <c r="B50" s="8" t="inlineStr">
        <is>
          <t>gold</t>
        </is>
      </c>
      <c r="C50" s="8" t="inlineStr">
        <is>
          <t>pipeline_run_log</t>
        </is>
      </c>
      <c r="D50" s="8" t="inlineStr">
        <is>
          <t>Task-attempt audit and row/error metrics</t>
        </is>
      </c>
      <c r="E50" s="8" t="inlineStr">
        <is>
          <t>One Job task attempt</t>
        </is>
      </c>
      <c r="F50" s="8" t="inlineStr">
        <is>
          <t>run_id + task_run_id</t>
        </is>
      </c>
      <c r="G50" s="8" t="inlineStr">
        <is>
          <t>status</t>
        </is>
      </c>
      <c r="H50" s="8" t="inlineStr">
        <is>
          <t>STRING</t>
        </is>
      </c>
      <c r="I50" s="8" t="inlineStr">
        <is>
          <t>N/A</t>
        </is>
      </c>
      <c r="J50" s="8" t="inlineStr">
        <is>
          <t>Yes</t>
        </is>
      </c>
      <c r="K50" s="8" t="inlineStr">
        <is>
          <t>None declared</t>
        </is>
      </c>
      <c r="L50" s="8" t="inlineStr">
        <is>
          <t>Break or task state</t>
        </is>
      </c>
      <c r="M50" s="8" t="inlineStr">
        <is>
          <t>Pipeline</t>
        </is>
      </c>
      <c r="N50" s="8" t="inlineStr">
        <is>
          <t>OPEN for valuation breaks; STARTED/SUCCESS/FAILED for audit</t>
        </is>
      </c>
      <c r="O50" s="8" t="inlineStr">
        <is>
          <t>Required in business record</t>
        </is>
      </c>
      <c r="P50" s="8" t="inlineStr">
        <is>
          <t>No physical PK/partition/clustering</t>
        </is>
      </c>
      <c r="Q50" s="8" t="inlineStr">
        <is>
          <t>MERGE STARTED/metrics/SUCCESS or FAILED</t>
        </is>
      </c>
      <c r="R50" s="8" t="inlineStr">
        <is>
          <t>database/tables/gold/pipeline_run_log.sql</t>
        </is>
      </c>
    </row>
    <row r="51" ht="34" customHeight="1">
      <c r="A51" s="9" t="inlineStr">
        <is>
          <t>cibc</t>
        </is>
      </c>
      <c r="B51" s="9" t="inlineStr">
        <is>
          <t>gold</t>
        </is>
      </c>
      <c r="C51" s="9" t="inlineStr">
        <is>
          <t>pipeline_run_log</t>
        </is>
      </c>
      <c r="D51" s="9" t="inlineStr">
        <is>
          <t>Task-attempt audit and row/error metrics</t>
        </is>
      </c>
      <c r="E51" s="9" t="inlineStr">
        <is>
          <t>One Job task attempt</t>
        </is>
      </c>
      <c r="F51" s="9" t="inlineStr">
        <is>
          <t>run_id + task_run_id</t>
        </is>
      </c>
      <c r="G51" s="9" t="inlineStr">
        <is>
          <t>source_table</t>
        </is>
      </c>
      <c r="H51" s="9" t="inlineStr">
        <is>
          <t>STRING</t>
        </is>
      </c>
      <c r="I51" s="9" t="inlineStr">
        <is>
          <t>N/A</t>
        </is>
      </c>
      <c r="J51" s="9" t="inlineStr">
        <is>
          <t>Yes</t>
        </is>
      </c>
      <c r="K51" s="9" t="inlineStr">
        <is>
          <t>None declared</t>
        </is>
      </c>
      <c r="L51" s="9" t="inlineStr">
        <is>
          <t>Logical source table/path</t>
        </is>
      </c>
      <c r="M51" s="9" t="inlineStr">
        <is>
          <t>Task configuration</t>
        </is>
      </c>
      <c r="N51" s="9" t="inlineStr">
        <is>
          <t>Recorded by audited wrapper</t>
        </is>
      </c>
      <c r="O51" s="9" t="inlineStr">
        <is>
          <t>Nullable for external source</t>
        </is>
      </c>
      <c r="P51" s="9" t="inlineStr">
        <is>
          <t>No physical PK/partition/clustering</t>
        </is>
      </c>
      <c r="Q51" s="9" t="inlineStr">
        <is>
          <t>MERGE STARTED/metrics/SUCCESS or FAILED</t>
        </is>
      </c>
      <c r="R51" s="9" t="inlineStr">
        <is>
          <t>database/tables/gold/pipeline_run_log.sql</t>
        </is>
      </c>
    </row>
    <row r="52" ht="34" customHeight="1">
      <c r="A52" s="8" t="inlineStr">
        <is>
          <t>cibc</t>
        </is>
      </c>
      <c r="B52" s="8" t="inlineStr">
        <is>
          <t>gold</t>
        </is>
      </c>
      <c r="C52" s="8" t="inlineStr">
        <is>
          <t>pipeline_run_log</t>
        </is>
      </c>
      <c r="D52" s="8" t="inlineStr">
        <is>
          <t>Task-attempt audit and row/error metrics</t>
        </is>
      </c>
      <c r="E52" s="8" t="inlineStr">
        <is>
          <t>One Job task attempt</t>
        </is>
      </c>
      <c r="F52" s="8" t="inlineStr">
        <is>
          <t>run_id + task_run_id</t>
        </is>
      </c>
      <c r="G52" s="8" t="inlineStr">
        <is>
          <t>target_table</t>
        </is>
      </c>
      <c r="H52" s="8" t="inlineStr">
        <is>
          <t>STRING</t>
        </is>
      </c>
      <c r="I52" s="8" t="inlineStr">
        <is>
          <t>N/A</t>
        </is>
      </c>
      <c r="J52" s="8" t="inlineStr">
        <is>
          <t>Yes</t>
        </is>
      </c>
      <c r="K52" s="8" t="inlineStr">
        <is>
          <t>None declared</t>
        </is>
      </c>
      <c r="L52" s="8" t="inlineStr">
        <is>
          <t>Logical output table</t>
        </is>
      </c>
      <c r="M52" s="8" t="inlineStr">
        <is>
          <t>Task configuration</t>
        </is>
      </c>
      <c r="N52" s="8" t="inlineStr">
        <is>
          <t>Recorded by audited wrapper</t>
        </is>
      </c>
      <c r="O52" s="8" t="inlineStr">
        <is>
          <t>Nullable where not applicable</t>
        </is>
      </c>
      <c r="P52" s="8" t="inlineStr">
        <is>
          <t>No physical PK/partition/clustering</t>
        </is>
      </c>
      <c r="Q52" s="8" t="inlineStr">
        <is>
          <t>MERGE STARTED/metrics/SUCCESS or FAILED</t>
        </is>
      </c>
      <c r="R52" s="8" t="inlineStr">
        <is>
          <t>database/tables/gold/pipeline_run_log.sql</t>
        </is>
      </c>
    </row>
    <row r="53" ht="34" customHeight="1">
      <c r="A53" s="9" t="inlineStr">
        <is>
          <t>cibc</t>
        </is>
      </c>
      <c r="B53" s="9" t="inlineStr">
        <is>
          <t>gold</t>
        </is>
      </c>
      <c r="C53" s="9" t="inlineStr">
        <is>
          <t>pipeline_run_log</t>
        </is>
      </c>
      <c r="D53" s="9" t="inlineStr">
        <is>
          <t>Task-attempt audit and row/error metrics</t>
        </is>
      </c>
      <c r="E53" s="9" t="inlineStr">
        <is>
          <t>One Job task attempt</t>
        </is>
      </c>
      <c r="F53" s="9" t="inlineStr">
        <is>
          <t>run_id + task_run_id</t>
        </is>
      </c>
      <c r="G53" s="9" t="inlineStr">
        <is>
          <t>requested_tickers</t>
        </is>
      </c>
      <c r="H53" s="9" t="inlineStr">
        <is>
          <t>BIGINT</t>
        </is>
      </c>
      <c r="I53" s="9" t="inlineStr">
        <is>
          <t>N/A</t>
        </is>
      </c>
      <c r="J53" s="9" t="inlineStr">
        <is>
          <t>Yes</t>
        </is>
      </c>
      <c r="K53" s="9" t="inlineStr">
        <is>
          <t>None declared</t>
        </is>
      </c>
      <c r="L53" s="9" t="inlineStr">
        <is>
          <t>Number of requested market symbols</t>
        </is>
      </c>
      <c r="M53" s="9" t="inlineStr">
        <is>
          <t>Task metrics</t>
        </is>
      </c>
      <c r="N53" s="9" t="inlineStr">
        <is>
          <t>Count of normalized symbols</t>
        </is>
      </c>
      <c r="O53" s="9" t="inlineStr">
        <is>
          <t>Nullable for trade-only task</t>
        </is>
      </c>
      <c r="P53" s="9" t="inlineStr">
        <is>
          <t>No physical PK/partition/clustering</t>
        </is>
      </c>
      <c r="Q53" s="9" t="inlineStr">
        <is>
          <t>MERGE STARTED/metrics/SUCCESS or FAILED</t>
        </is>
      </c>
      <c r="R53" s="9" t="inlineStr">
        <is>
          <t>database/tables/gold/pipeline_run_log.sql</t>
        </is>
      </c>
    </row>
    <row r="54" ht="34" customHeight="1">
      <c r="A54" s="8" t="inlineStr">
        <is>
          <t>cibc</t>
        </is>
      </c>
      <c r="B54" s="8" t="inlineStr">
        <is>
          <t>gold</t>
        </is>
      </c>
      <c r="C54" s="8" t="inlineStr">
        <is>
          <t>pipeline_run_log</t>
        </is>
      </c>
      <c r="D54" s="8" t="inlineStr">
        <is>
          <t>Task-attempt audit and row/error metrics</t>
        </is>
      </c>
      <c r="E54" s="8" t="inlineStr">
        <is>
          <t>One Job task attempt</t>
        </is>
      </c>
      <c r="F54" s="8" t="inlineStr">
        <is>
          <t>run_id + task_run_id</t>
        </is>
      </c>
      <c r="G54" s="8" t="inlineStr">
        <is>
          <t>input_rows</t>
        </is>
      </c>
      <c r="H54" s="8" t="inlineStr">
        <is>
          <t>BIGINT</t>
        </is>
      </c>
      <c r="I54" s="8" t="inlineStr">
        <is>
          <t>N/A</t>
        </is>
      </c>
      <c r="J54" s="8" t="inlineStr">
        <is>
          <t>Yes</t>
        </is>
      </c>
      <c r="K54" s="8" t="inlineStr">
        <is>
          <t>None declared</t>
        </is>
      </c>
      <c r="L54" s="8" t="inlineStr">
        <is>
          <t>Rows read/processed</t>
        </is>
      </c>
      <c r="M54" s="8" t="inlineStr">
        <is>
          <t>Task metrics</t>
        </is>
      </c>
      <c r="N54" s="8" t="inlineStr">
        <is>
          <t>Task-defined count; see audit contract</t>
        </is>
      </c>
      <c r="O54" s="8" t="inlineStr">
        <is>
          <t>Nullable on task start/failure</t>
        </is>
      </c>
      <c r="P54" s="8" t="inlineStr">
        <is>
          <t>No physical PK/partition/clustering</t>
        </is>
      </c>
      <c r="Q54" s="8" t="inlineStr">
        <is>
          <t>MERGE STARTED/metrics/SUCCESS or FAILED</t>
        </is>
      </c>
      <c r="R54" s="8" t="inlineStr">
        <is>
          <t>database/tables/gold/pipeline_run_log.sql</t>
        </is>
      </c>
    </row>
    <row r="55" ht="34" customHeight="1">
      <c r="A55" s="9" t="inlineStr">
        <is>
          <t>cibc</t>
        </is>
      </c>
      <c r="B55" s="9" t="inlineStr">
        <is>
          <t>gold</t>
        </is>
      </c>
      <c r="C55" s="9" t="inlineStr">
        <is>
          <t>pipeline_run_log</t>
        </is>
      </c>
      <c r="D55" s="9" t="inlineStr">
        <is>
          <t>Task-attempt audit and row/error metrics</t>
        </is>
      </c>
      <c r="E55" s="9" t="inlineStr">
        <is>
          <t>One Job task attempt</t>
        </is>
      </c>
      <c r="F55" s="9" t="inlineStr">
        <is>
          <t>run_id + task_run_id</t>
        </is>
      </c>
      <c r="G55" s="9" t="inlineStr">
        <is>
          <t>output_rows</t>
        </is>
      </c>
      <c r="H55" s="9" t="inlineStr">
        <is>
          <t>BIGINT</t>
        </is>
      </c>
      <c r="I55" s="9" t="inlineStr">
        <is>
          <t>N/A</t>
        </is>
      </c>
      <c r="J55" s="9" t="inlineStr">
        <is>
          <t>Yes</t>
        </is>
      </c>
      <c r="K55" s="9" t="inlineStr">
        <is>
          <t>None declared</t>
        </is>
      </c>
      <c r="L55" s="9" t="inlineStr">
        <is>
          <t>Rows accepted or produced</t>
        </is>
      </c>
      <c r="M55" s="9" t="inlineStr">
        <is>
          <t>Task metrics</t>
        </is>
      </c>
      <c r="N55" s="9" t="inlineStr">
        <is>
          <t>Task-defined count; not always writes</t>
        </is>
      </c>
      <c r="O55" s="9" t="inlineStr">
        <is>
          <t>Nullable on task start/failure</t>
        </is>
      </c>
      <c r="P55" s="9" t="inlineStr">
        <is>
          <t>No physical PK/partition/clustering</t>
        </is>
      </c>
      <c r="Q55" s="9" t="inlineStr">
        <is>
          <t>MERGE STARTED/metrics/SUCCESS or FAILED</t>
        </is>
      </c>
      <c r="R55" s="9" t="inlineStr">
        <is>
          <t>database/tables/gold/pipeline_run_log.sql</t>
        </is>
      </c>
    </row>
    <row r="56" ht="34" customHeight="1">
      <c r="A56" s="8" t="inlineStr">
        <is>
          <t>cibc</t>
        </is>
      </c>
      <c r="B56" s="8" t="inlineStr">
        <is>
          <t>gold</t>
        </is>
      </c>
      <c r="C56" s="8" t="inlineStr">
        <is>
          <t>pipeline_run_log</t>
        </is>
      </c>
      <c r="D56" s="8" t="inlineStr">
        <is>
          <t>Task-attempt audit and row/error metrics</t>
        </is>
      </c>
      <c r="E56" s="8" t="inlineStr">
        <is>
          <t>One Job task attempt</t>
        </is>
      </c>
      <c r="F56" s="8" t="inlineStr">
        <is>
          <t>run_id + task_run_id</t>
        </is>
      </c>
      <c r="G56" s="8" t="inlineStr">
        <is>
          <t>rejected_rows</t>
        </is>
      </c>
      <c r="H56" s="8" t="inlineStr">
        <is>
          <t>BIGINT</t>
        </is>
      </c>
      <c r="I56" s="8" t="inlineStr">
        <is>
          <t>N/A</t>
        </is>
      </c>
      <c r="J56" s="8" t="inlineStr">
        <is>
          <t>Yes</t>
        </is>
      </c>
      <c r="K56" s="8" t="inlineStr">
        <is>
          <t>None declared</t>
        </is>
      </c>
      <c r="L56" s="8" t="inlineStr">
        <is>
          <t>Rows rejected in scoped processing</t>
        </is>
      </c>
      <c r="M56" s="8" t="inlineStr">
        <is>
          <t>Task metrics</t>
        </is>
      </c>
      <c r="N56" s="8" t="inlineStr">
        <is>
          <t>Can count records with multiple reasons once</t>
        </is>
      </c>
      <c r="O56" s="8" t="inlineStr">
        <is>
          <t>Nullable on task start/failure</t>
        </is>
      </c>
      <c r="P56" s="8" t="inlineStr">
        <is>
          <t>No physical PK/partition/clustering</t>
        </is>
      </c>
      <c r="Q56" s="8" t="inlineStr">
        <is>
          <t>MERGE STARTED/metrics/SUCCESS or FAILED</t>
        </is>
      </c>
      <c r="R56" s="8" t="inlineStr">
        <is>
          <t>database/tables/gold/pipeline_run_log.sql</t>
        </is>
      </c>
    </row>
    <row r="57" ht="34" customHeight="1">
      <c r="A57" s="9" t="inlineStr">
        <is>
          <t>cibc</t>
        </is>
      </c>
      <c r="B57" s="9" t="inlineStr">
        <is>
          <t>gold</t>
        </is>
      </c>
      <c r="C57" s="9" t="inlineStr">
        <is>
          <t>pipeline_run_log</t>
        </is>
      </c>
      <c r="D57" s="9" t="inlineStr">
        <is>
          <t>Task-attempt audit and row/error metrics</t>
        </is>
      </c>
      <c r="E57" s="9" t="inlineStr">
        <is>
          <t>One Job task attempt</t>
        </is>
      </c>
      <c r="F57" s="9" t="inlineStr">
        <is>
          <t>run_id + task_run_id</t>
        </is>
      </c>
      <c r="G57" s="9" t="inlineStr">
        <is>
          <t>duplicate_rows</t>
        </is>
      </c>
      <c r="H57" s="9" t="inlineStr">
        <is>
          <t>BIGINT</t>
        </is>
      </c>
      <c r="I57" s="9" t="inlineStr">
        <is>
          <t>N/A</t>
        </is>
      </c>
      <c r="J57" s="9" t="inlineStr">
        <is>
          <t>Yes</t>
        </is>
      </c>
      <c r="K57" s="9" t="inlineStr">
        <is>
          <t>None declared</t>
        </is>
      </c>
      <c r="L57" s="9" t="inlineStr">
        <is>
          <t>Duplicate/version rows</t>
        </is>
      </c>
      <c r="M57" s="9" t="inlineStr">
        <is>
          <t>Task metrics</t>
        </is>
      </c>
      <c r="N57" s="9" t="inlineStr">
        <is>
          <t>Task-specific duplicate definition</t>
        </is>
      </c>
      <c r="O57" s="9" t="inlineStr">
        <is>
          <t>Nullable on task start/failure</t>
        </is>
      </c>
      <c r="P57" s="9" t="inlineStr">
        <is>
          <t>No physical PK/partition/clustering</t>
        </is>
      </c>
      <c r="Q57" s="9" t="inlineStr">
        <is>
          <t>MERGE STARTED/metrics/SUCCESS or FAILED</t>
        </is>
      </c>
      <c r="R57" s="9" t="inlineStr">
        <is>
          <t>database/tables/gold/pipeline_run_log.sql</t>
        </is>
      </c>
    </row>
    <row r="58" ht="34" customHeight="1">
      <c r="A58" s="8" t="inlineStr">
        <is>
          <t>cibc</t>
        </is>
      </c>
      <c r="B58" s="8" t="inlineStr">
        <is>
          <t>gold</t>
        </is>
      </c>
      <c r="C58" s="8" t="inlineStr">
        <is>
          <t>pipeline_run_log</t>
        </is>
      </c>
      <c r="D58" s="8" t="inlineStr">
        <is>
          <t>Task-attempt audit and row/error metrics</t>
        </is>
      </c>
      <c r="E58" s="8" t="inlineStr">
        <is>
          <t>One Job task attempt</t>
        </is>
      </c>
      <c r="F58" s="8" t="inlineStr">
        <is>
          <t>run_id + task_run_id</t>
        </is>
      </c>
      <c r="G58" s="8" t="inlineStr">
        <is>
          <t>issue_counts</t>
        </is>
      </c>
      <c r="H58" s="8" t="inlineStr">
        <is>
          <t>MAP&lt;STRING, BIGINT&gt;</t>
        </is>
      </c>
      <c r="I58" s="8" t="inlineStr">
        <is>
          <t>N/A</t>
        </is>
      </c>
      <c r="J58" s="8" t="inlineStr">
        <is>
          <t>Yes</t>
        </is>
      </c>
      <c r="K58" s="8" t="inlineStr">
        <is>
          <t>None declared</t>
        </is>
      </c>
      <c r="L58" s="8" t="inlineStr">
        <is>
          <t>Reason-to-count map</t>
        </is>
      </c>
      <c r="M58" s="8" t="inlineStr">
        <is>
          <t>Task metrics</t>
        </is>
      </c>
      <c r="N58" s="8" t="inlineStr">
        <is>
          <t>Map of issue reason to count</t>
        </is>
      </c>
      <c r="O58" s="8" t="inlineStr">
        <is>
          <t>Nullable; reasons may exceed rejected row count</t>
        </is>
      </c>
      <c r="P58" s="8" t="inlineStr">
        <is>
          <t>No physical PK/partition/clustering</t>
        </is>
      </c>
      <c r="Q58" s="8" t="inlineStr">
        <is>
          <t>MERGE STARTED/metrics/SUCCESS or FAILED</t>
        </is>
      </c>
      <c r="R58" s="8" t="inlineStr">
        <is>
          <t>database/tables/gold/pipeline_run_log.sql</t>
        </is>
      </c>
    </row>
    <row r="59" ht="34" customHeight="1">
      <c r="A59" s="9" t="inlineStr">
        <is>
          <t>cibc</t>
        </is>
      </c>
      <c r="B59" s="9" t="inlineStr">
        <is>
          <t>gold</t>
        </is>
      </c>
      <c r="C59" s="9" t="inlineStr">
        <is>
          <t>pipeline_run_log</t>
        </is>
      </c>
      <c r="D59" s="9" t="inlineStr">
        <is>
          <t>Task-attempt audit and row/error metrics</t>
        </is>
      </c>
      <c r="E59" s="9" t="inlineStr">
        <is>
          <t>One Job task attempt</t>
        </is>
      </c>
      <c r="F59" s="9" t="inlineStr">
        <is>
          <t>run_id + task_run_id</t>
        </is>
      </c>
      <c r="G59" s="9" t="inlineStr">
        <is>
          <t>error_type</t>
        </is>
      </c>
      <c r="H59" s="9" t="inlineStr">
        <is>
          <t>STRING</t>
        </is>
      </c>
      <c r="I59" s="9" t="inlineStr">
        <is>
          <t>N/A</t>
        </is>
      </c>
      <c r="J59" s="9" t="inlineStr">
        <is>
          <t>Yes</t>
        </is>
      </c>
      <c r="K59" s="9" t="inlineStr">
        <is>
          <t>None declared</t>
        </is>
      </c>
      <c r="L59" s="9" t="inlineStr">
        <is>
          <t>Exception class on failed attempt</t>
        </is>
      </c>
      <c r="M59" s="9" t="inlineStr">
        <is>
          <t>Caught exception</t>
        </is>
      </c>
      <c r="N59" s="9" t="inlineStr">
        <is>
          <t>type(error).__name__</t>
        </is>
      </c>
      <c r="O59" s="9" t="inlineStr">
        <is>
          <t>Nullable unless failed</t>
        </is>
      </c>
      <c r="P59" s="9" t="inlineStr">
        <is>
          <t>No physical PK/partition/clustering</t>
        </is>
      </c>
      <c r="Q59" s="9" t="inlineStr">
        <is>
          <t>MERGE STARTED/metrics/SUCCESS or FAILED</t>
        </is>
      </c>
      <c r="R59" s="9" t="inlineStr">
        <is>
          <t>database/tables/gold/pipeline_run_log.sql</t>
        </is>
      </c>
    </row>
    <row r="60" ht="34" customHeight="1">
      <c r="A60" s="8" t="inlineStr">
        <is>
          <t>cibc</t>
        </is>
      </c>
      <c r="B60" s="8" t="inlineStr">
        <is>
          <t>gold</t>
        </is>
      </c>
      <c r="C60" s="8" t="inlineStr">
        <is>
          <t>pipeline_run_log</t>
        </is>
      </c>
      <c r="D60" s="8" t="inlineStr">
        <is>
          <t>Task-attempt audit and row/error metrics</t>
        </is>
      </c>
      <c r="E60" s="8" t="inlineStr">
        <is>
          <t>One Job task attempt</t>
        </is>
      </c>
      <c r="F60" s="8" t="inlineStr">
        <is>
          <t>run_id + task_run_id</t>
        </is>
      </c>
      <c r="G60" s="8" t="inlineStr">
        <is>
          <t>error_message</t>
        </is>
      </c>
      <c r="H60" s="8" t="inlineStr">
        <is>
          <t>STRING</t>
        </is>
      </c>
      <c r="I60" s="8" t="inlineStr">
        <is>
          <t>N/A</t>
        </is>
      </c>
      <c r="J60" s="8" t="inlineStr">
        <is>
          <t>Yes</t>
        </is>
      </c>
      <c r="K60" s="8" t="inlineStr">
        <is>
          <t>None declared</t>
        </is>
      </c>
      <c r="L60" s="8" t="inlineStr">
        <is>
          <t>Exception summary on failed attempt</t>
        </is>
      </c>
      <c r="M60" s="8" t="inlineStr">
        <is>
          <t>Caught exception</t>
        </is>
      </c>
      <c r="N60" s="8" t="inlineStr">
        <is>
          <t>str(error); sensitivity review required</t>
        </is>
      </c>
      <c r="O60" s="8" t="inlineStr">
        <is>
          <t>Nullable unless failed</t>
        </is>
      </c>
      <c r="P60" s="8" t="inlineStr">
        <is>
          <t>No physical PK/partition/clustering</t>
        </is>
      </c>
      <c r="Q60" s="8" t="inlineStr">
        <is>
          <t>MERGE STARTED/metrics/SUCCESS or FAILED</t>
        </is>
      </c>
      <c r="R60" s="8" t="inlineStr">
        <is>
          <t>database/tables/gold/pipeline_run_log.sql</t>
        </is>
      </c>
    </row>
    <row r="61" ht="34" customHeight="1">
      <c r="A61" s="9" t="inlineStr">
        <is>
          <t>cibc</t>
        </is>
      </c>
      <c r="B61" s="9" t="inlineStr">
        <is>
          <t>gold</t>
        </is>
      </c>
      <c r="C61" s="9" t="inlineStr">
        <is>
          <t>positions</t>
        </is>
      </c>
      <c r="D61" s="9" t="inlineStr">
        <is>
          <t>Daily cumulative positions and same-day valuation</t>
        </is>
      </c>
      <c r="E61" s="9" t="inlineStr">
        <is>
          <t>Date + book + counterparty + instrument + currency</t>
        </is>
      </c>
      <c r="F61" s="9" t="inlineStr">
        <is>
          <t>valuation_date + book_id + counterparty_id + instrument_id + currency</t>
        </is>
      </c>
      <c r="G61" s="9" t="inlineStr">
        <is>
          <t>id</t>
        </is>
      </c>
      <c r="H61" s="9" t="inlineStr">
        <is>
          <t>BIGINT GENERATED ALWAYS AS IDENTITY</t>
        </is>
      </c>
      <c r="I61" s="9" t="inlineStr">
        <is>
          <t>N/A</t>
        </is>
      </c>
      <c r="J61" s="9" t="inlineStr">
        <is>
          <t>Generated</t>
        </is>
      </c>
      <c r="K61" s="9" t="inlineStr">
        <is>
          <t>None declared</t>
        </is>
      </c>
      <c r="L61" s="9" t="inlineStr">
        <is>
          <t>Delta identity surrogate</t>
        </is>
      </c>
      <c r="M61" s="9" t="inlineStr">
        <is>
          <t>Delta table engine</t>
        </is>
      </c>
      <c r="N61" s="9" t="inlineStr">
        <is>
          <t>GENERATED ALWAYS AS IDENTITY</t>
        </is>
      </c>
      <c r="O61" s="9" t="inlineStr">
        <is>
          <t>Not a business key; omitted from MERGE source</t>
        </is>
      </c>
      <c r="P61" s="9" t="inlineStr">
        <is>
          <t>No physical PK/partition/clustering</t>
        </is>
      </c>
      <c r="Q61" s="9" t="inlineStr">
        <is>
          <t>Conditional scoped MERGE reconciliation</t>
        </is>
      </c>
      <c r="R61" s="9" t="inlineStr">
        <is>
          <t>database/tables/gold/positions.sql</t>
        </is>
      </c>
    </row>
    <row r="62" ht="34" customHeight="1">
      <c r="A62" s="8" t="inlineStr">
        <is>
          <t>cibc</t>
        </is>
      </c>
      <c r="B62" s="8" t="inlineStr">
        <is>
          <t>gold</t>
        </is>
      </c>
      <c r="C62" s="8" t="inlineStr">
        <is>
          <t>positions</t>
        </is>
      </c>
      <c r="D62" s="8" t="inlineStr">
        <is>
          <t>Daily cumulative positions and same-day valuation</t>
        </is>
      </c>
      <c r="E62" s="8" t="inlineStr">
        <is>
          <t>Date + book + counterparty + instrument + currency</t>
        </is>
      </c>
      <c r="F62" s="8" t="inlineStr">
        <is>
          <t>valuation_date + book_id + counterparty_id + instrument_id + currency</t>
        </is>
      </c>
      <c r="G62" s="8" t="inlineStr">
        <is>
          <t>valuation_date</t>
        </is>
      </c>
      <c r="H62" s="8" t="inlineStr">
        <is>
          <t>DATE</t>
        </is>
      </c>
      <c r="I62" s="8" t="inlineStr">
        <is>
          <t>N/A</t>
        </is>
      </c>
      <c r="J62" s="8" t="inlineStr">
        <is>
          <t>No</t>
        </is>
      </c>
      <c r="K62" s="8" t="inlineStr">
        <is>
          <t>None declared</t>
        </is>
      </c>
      <c r="L62" s="8" t="inlineStr">
        <is>
          <t>Date represented by position/P&amp;L/break</t>
        </is>
      </c>
      <c r="M62" s="8" t="inlineStr">
        <is>
          <t>Trade/calendar/price dates</t>
        </is>
      </c>
      <c r="N62" s="8" t="inlineStr">
        <is>
          <t>DATE</t>
        </is>
      </c>
      <c r="O62" s="8" t="inlineStr">
        <is>
          <t>Required in position and P&amp;L</t>
        </is>
      </c>
      <c r="P62" s="8" t="inlineStr">
        <is>
          <t>No physical PK/partition/clustering</t>
        </is>
      </c>
      <c r="Q62" s="8" t="inlineStr">
        <is>
          <t>Conditional scoped MERGE reconciliation</t>
        </is>
      </c>
      <c r="R62" s="8" t="inlineStr">
        <is>
          <t>database/tables/gold/positions.sql</t>
        </is>
      </c>
    </row>
    <row r="63" ht="34" customHeight="1">
      <c r="A63" s="9" t="inlineStr">
        <is>
          <t>cibc</t>
        </is>
      </c>
      <c r="B63" s="9" t="inlineStr">
        <is>
          <t>gold</t>
        </is>
      </c>
      <c r="C63" s="9" t="inlineStr">
        <is>
          <t>positions</t>
        </is>
      </c>
      <c r="D63" s="9" t="inlineStr">
        <is>
          <t>Daily cumulative positions and same-day valuation</t>
        </is>
      </c>
      <c r="E63" s="9" t="inlineStr">
        <is>
          <t>Date + book + counterparty + instrument + currency</t>
        </is>
      </c>
      <c r="F63" s="9" t="inlineStr">
        <is>
          <t>valuation_date + book_id + counterparty_id + instrument_id + currency</t>
        </is>
      </c>
      <c r="G63" s="9" t="inlineStr">
        <is>
          <t>book_id</t>
        </is>
      </c>
      <c r="H63" s="9" t="inlineStr">
        <is>
          <t>STRING</t>
        </is>
      </c>
      <c r="I63" s="9" t="inlineStr">
        <is>
          <t>N/A</t>
        </is>
      </c>
      <c r="J63" s="9" t="inlineStr">
        <is>
          <t>No</t>
        </is>
      </c>
      <c r="K63" s="9" t="inlineStr">
        <is>
          <t>None declared</t>
        </is>
      </c>
      <c r="L63" s="9" t="inlineStr">
        <is>
          <t>Trading book identifier</t>
        </is>
      </c>
      <c r="M63" s="9" t="inlineStr">
        <is>
          <t>CSV.book_id</t>
        </is>
      </c>
      <c r="N63" s="9" t="inlineStr">
        <is>
          <t>Passed as opaque STRING</t>
        </is>
      </c>
      <c r="O63" s="9" t="inlineStr">
        <is>
          <t>Required/nonblank; book reference not persisted</t>
        </is>
      </c>
      <c r="P63" s="9" t="inlineStr">
        <is>
          <t>No physical PK/partition/clustering</t>
        </is>
      </c>
      <c r="Q63" s="9" t="inlineStr">
        <is>
          <t>Conditional scoped MERGE reconciliation</t>
        </is>
      </c>
      <c r="R63" s="9" t="inlineStr">
        <is>
          <t>database/tables/gold/positions.sql</t>
        </is>
      </c>
    </row>
    <row r="64" ht="34" customHeight="1">
      <c r="A64" s="8" t="inlineStr">
        <is>
          <t>cibc</t>
        </is>
      </c>
      <c r="B64" s="8" t="inlineStr">
        <is>
          <t>gold</t>
        </is>
      </c>
      <c r="C64" s="8" t="inlineStr">
        <is>
          <t>positions</t>
        </is>
      </c>
      <c r="D64" s="8" t="inlineStr">
        <is>
          <t>Daily cumulative positions and same-day valuation</t>
        </is>
      </c>
      <c r="E64" s="8" t="inlineStr">
        <is>
          <t>Date + book + counterparty + instrument + currency</t>
        </is>
      </c>
      <c r="F64" s="8" t="inlineStr">
        <is>
          <t>valuation_date + book_id + counterparty_id + instrument_id + currency</t>
        </is>
      </c>
      <c r="G64" s="8" t="inlineStr">
        <is>
          <t>counterparty_id</t>
        </is>
      </c>
      <c r="H64" s="8" t="inlineStr">
        <is>
          <t>STRING</t>
        </is>
      </c>
      <c r="I64" s="8" t="inlineStr">
        <is>
          <t>N/A</t>
        </is>
      </c>
      <c r="J64" s="8" t="inlineStr">
        <is>
          <t>No</t>
        </is>
      </c>
      <c r="K64" s="8" t="inlineStr">
        <is>
          <t>None declared</t>
        </is>
      </c>
      <c r="L64" s="8" t="inlineStr">
        <is>
          <t>Counterparty identifier</t>
        </is>
      </c>
      <c r="M64" s="8" t="inlineStr">
        <is>
          <t>CSV.counterparty_id</t>
        </is>
      </c>
      <c r="N64" s="8" t="inlineStr">
        <is>
          <t>Preserved as STRING</t>
        </is>
      </c>
      <c r="O64" s="8" t="inlineStr">
        <is>
          <t>Required/nonblank for accepted trade</t>
        </is>
      </c>
      <c r="P64" s="8" t="inlineStr">
        <is>
          <t>No physical PK/partition/clustering</t>
        </is>
      </c>
      <c r="Q64" s="8" t="inlineStr">
        <is>
          <t>Conditional scoped MERGE reconciliation</t>
        </is>
      </c>
      <c r="R64" s="8" t="inlineStr">
        <is>
          <t>database/tables/gold/positions.sql</t>
        </is>
      </c>
    </row>
    <row r="65" ht="34" customHeight="1">
      <c r="A65" s="9" t="inlineStr">
        <is>
          <t>cibc</t>
        </is>
      </c>
      <c r="B65" s="9" t="inlineStr">
        <is>
          <t>gold</t>
        </is>
      </c>
      <c r="C65" s="9" t="inlineStr">
        <is>
          <t>positions</t>
        </is>
      </c>
      <c r="D65" s="9" t="inlineStr">
        <is>
          <t>Daily cumulative positions and same-day valuation</t>
        </is>
      </c>
      <c r="E65" s="9" t="inlineStr">
        <is>
          <t>Date + book + counterparty + instrument + currency</t>
        </is>
      </c>
      <c r="F65" s="9" t="inlineStr">
        <is>
          <t>valuation_date + book_id + counterparty_id + instrument_id + currency</t>
        </is>
      </c>
      <c r="G65" s="9" t="inlineStr">
        <is>
          <t>instrument_id</t>
        </is>
      </c>
      <c r="H65" s="9" t="inlineStr">
        <is>
          <t>STRING</t>
        </is>
      </c>
      <c r="I65" s="9" t="inlineStr">
        <is>
          <t>N/A</t>
        </is>
      </c>
      <c r="J65" s="9" t="inlineStr">
        <is>
          <t>No</t>
        </is>
      </c>
      <c r="K65" s="9" t="inlineStr">
        <is>
          <t>None declared</t>
        </is>
      </c>
      <c r="L65" s="9" t="inlineStr">
        <is>
          <t>Instrument identifier on position/break</t>
        </is>
      </c>
      <c r="M65" s="9" t="inlineStr">
        <is>
          <t>Configured mapping or Silver trade</t>
        </is>
      </c>
      <c r="N65" s="9" t="inlineStr">
        <is>
          <t>STRING</t>
        </is>
      </c>
      <c r="O65" s="9" t="inlineStr">
        <is>
          <t>Required on accepted trade; nullable in break DDL</t>
        </is>
      </c>
      <c r="P65" s="9" t="inlineStr">
        <is>
          <t>No physical PK/partition/clustering</t>
        </is>
      </c>
      <c r="Q65" s="9" t="inlineStr">
        <is>
          <t>Conditional scoped MERGE reconciliation</t>
        </is>
      </c>
      <c r="R65" s="9" t="inlineStr">
        <is>
          <t>database/tables/gold/positions.sql</t>
        </is>
      </c>
    </row>
    <row r="66" ht="34" customHeight="1">
      <c r="A66" s="8" t="inlineStr">
        <is>
          <t>cibc</t>
        </is>
      </c>
      <c r="B66" s="8" t="inlineStr">
        <is>
          <t>gold</t>
        </is>
      </c>
      <c r="C66" s="8" t="inlineStr">
        <is>
          <t>positions</t>
        </is>
      </c>
      <c r="D66" s="8" t="inlineStr">
        <is>
          <t>Daily cumulative positions and same-day valuation</t>
        </is>
      </c>
      <c r="E66" s="8" t="inlineStr">
        <is>
          <t>Date + book + counterparty + instrument + currency</t>
        </is>
      </c>
      <c r="F66" s="8" t="inlineStr">
        <is>
          <t>valuation_date + book_id + counterparty_id + instrument_id + currency</t>
        </is>
      </c>
      <c r="G66" s="8" t="inlineStr">
        <is>
          <t>currency</t>
        </is>
      </c>
      <c r="H66" s="8" t="inlineStr">
        <is>
          <t>STRING</t>
        </is>
      </c>
      <c r="I66" s="8" t="inlineStr">
        <is>
          <t>N/A</t>
        </is>
      </c>
      <c r="J66" s="8" t="inlineStr">
        <is>
          <t>No</t>
        </is>
      </c>
      <c r="K66" s="8" t="inlineStr">
        <is>
          <t>None declared</t>
        </is>
      </c>
      <c r="L66" s="8" t="inlineStr">
        <is>
          <t>Financial reporting currency</t>
        </is>
      </c>
      <c r="M66" s="8" t="inlineStr">
        <is>
          <t>Trade/price source</t>
        </is>
      </c>
      <c r="N66" s="8" t="inlineStr">
        <is>
          <t>USD-only prototype</t>
        </is>
      </c>
      <c r="O66" s="8" t="inlineStr">
        <is>
          <t>Required on core accepted/Gold data</t>
        </is>
      </c>
      <c r="P66" s="8" t="inlineStr">
        <is>
          <t>No physical PK/partition/clustering</t>
        </is>
      </c>
      <c r="Q66" s="8" t="inlineStr">
        <is>
          <t>Conditional scoped MERGE reconciliation</t>
        </is>
      </c>
      <c r="R66" s="8" t="inlineStr">
        <is>
          <t>database/tables/gold/positions.sql</t>
        </is>
      </c>
    </row>
    <row r="67" ht="34" customHeight="1">
      <c r="A67" s="9" t="inlineStr">
        <is>
          <t>cibc</t>
        </is>
      </c>
      <c r="B67" s="9" t="inlineStr">
        <is>
          <t>gold</t>
        </is>
      </c>
      <c r="C67" s="9" t="inlineStr">
        <is>
          <t>positions</t>
        </is>
      </c>
      <c r="D67" s="9" t="inlineStr">
        <is>
          <t>Daily cumulative positions and same-day valuation</t>
        </is>
      </c>
      <c r="E67" s="9" t="inlineStr">
        <is>
          <t>Date + book + counterparty + instrument + currency</t>
        </is>
      </c>
      <c r="F67" s="9" t="inlineStr">
        <is>
          <t>valuation_date + book_id + counterparty_id + instrument_id + currency</t>
        </is>
      </c>
      <c r="G67" s="9" t="inlineStr">
        <is>
          <t>daily_buy_quantity</t>
        </is>
      </c>
      <c r="H67" s="9" t="inlineStr">
        <is>
          <t>DECIMAL(28,6)</t>
        </is>
      </c>
      <c r="I67" s="9" t="inlineStr">
        <is>
          <t>28,6</t>
        </is>
      </c>
      <c r="J67" s="9" t="inlineStr">
        <is>
          <t>No</t>
        </is>
      </c>
      <c r="K67" s="9" t="inlineStr">
        <is>
          <t>None declared</t>
        </is>
      </c>
      <c r="L67" s="9" t="inlineStr">
        <is>
          <t>Daily sum of positive BUY quantities</t>
        </is>
      </c>
      <c r="M67" s="9" t="inlineStr">
        <is>
          <t>Silver trades.quantity</t>
        </is>
      </c>
      <c r="N67" s="9" t="inlineStr">
        <is>
          <t>Grouped by position grain/date; DECIMAL(28,6)</t>
        </is>
      </c>
      <c r="O67" s="9" t="inlineStr">
        <is>
          <t>Not null; zero when no buys</t>
        </is>
      </c>
      <c r="P67" s="9" t="inlineStr">
        <is>
          <t>No physical PK/partition/clustering</t>
        </is>
      </c>
      <c r="Q67" s="9" t="inlineStr">
        <is>
          <t>Conditional scoped MERGE reconciliation</t>
        </is>
      </c>
      <c r="R67" s="9" t="inlineStr">
        <is>
          <t>database/tables/gold/positions.sql</t>
        </is>
      </c>
    </row>
    <row r="68" ht="34" customHeight="1">
      <c r="A68" s="8" t="inlineStr">
        <is>
          <t>cibc</t>
        </is>
      </c>
      <c r="B68" s="8" t="inlineStr">
        <is>
          <t>gold</t>
        </is>
      </c>
      <c r="C68" s="8" t="inlineStr">
        <is>
          <t>positions</t>
        </is>
      </c>
      <c r="D68" s="8" t="inlineStr">
        <is>
          <t>Daily cumulative positions and same-day valuation</t>
        </is>
      </c>
      <c r="E68" s="8" t="inlineStr">
        <is>
          <t>Date + book + counterparty + instrument + currency</t>
        </is>
      </c>
      <c r="F68" s="8" t="inlineStr">
        <is>
          <t>valuation_date + book_id + counterparty_id + instrument_id + currency</t>
        </is>
      </c>
      <c r="G68" s="8" t="inlineStr">
        <is>
          <t>daily_sell_quantity</t>
        </is>
      </c>
      <c r="H68" s="8" t="inlineStr">
        <is>
          <t>DECIMAL(28,6)</t>
        </is>
      </c>
      <c r="I68" s="8" t="inlineStr">
        <is>
          <t>28,6</t>
        </is>
      </c>
      <c r="J68" s="8" t="inlineStr">
        <is>
          <t>No</t>
        </is>
      </c>
      <c r="K68" s="8" t="inlineStr">
        <is>
          <t>None declared</t>
        </is>
      </c>
      <c r="L68" s="8" t="inlineStr">
        <is>
          <t>Daily absolute sum of signed SELL quantities</t>
        </is>
      </c>
      <c r="M68" s="8" t="inlineStr">
        <is>
          <t>Silver trades.quantity</t>
        </is>
      </c>
      <c r="N68" s="8" t="inlineStr">
        <is>
          <t>Sum(abs(quantity)) for sells; DECIMAL(28,6)</t>
        </is>
      </c>
      <c r="O68" s="8" t="inlineStr">
        <is>
          <t>Not null; zero when no sells</t>
        </is>
      </c>
      <c r="P68" s="8" t="inlineStr">
        <is>
          <t>No physical PK/partition/clustering</t>
        </is>
      </c>
      <c r="Q68" s="8" t="inlineStr">
        <is>
          <t>Conditional scoped MERGE reconciliation</t>
        </is>
      </c>
      <c r="R68" s="8" t="inlineStr">
        <is>
          <t>database/tables/gold/positions.sql</t>
        </is>
      </c>
    </row>
    <row r="69" ht="34" customHeight="1">
      <c r="A69" s="9" t="inlineStr">
        <is>
          <t>cibc</t>
        </is>
      </c>
      <c r="B69" s="9" t="inlineStr">
        <is>
          <t>gold</t>
        </is>
      </c>
      <c r="C69" s="9" t="inlineStr">
        <is>
          <t>positions</t>
        </is>
      </c>
      <c r="D69" s="9" t="inlineStr">
        <is>
          <t>Daily cumulative positions and same-day valuation</t>
        </is>
      </c>
      <c r="E69" s="9" t="inlineStr">
        <is>
          <t>Date + book + counterparty + instrument + currency</t>
        </is>
      </c>
      <c r="F69" s="9" t="inlineStr">
        <is>
          <t>valuation_date + book_id + counterparty_id + instrument_id + currency</t>
        </is>
      </c>
      <c r="G69" s="9" t="inlineStr">
        <is>
          <t>daily_net_quantity</t>
        </is>
      </c>
      <c r="H69" s="9" t="inlineStr">
        <is>
          <t>DECIMAL(28,6)</t>
        </is>
      </c>
      <c r="I69" s="9" t="inlineStr">
        <is>
          <t>28,6</t>
        </is>
      </c>
      <c r="J69" s="9" t="inlineStr">
        <is>
          <t>No</t>
        </is>
      </c>
      <c r="K69" s="9" t="inlineStr">
        <is>
          <t>None declared</t>
        </is>
      </c>
      <c r="L69" s="9" t="inlineStr">
        <is>
          <t>Daily signed net trade quantity</t>
        </is>
      </c>
      <c r="M69" s="9" t="inlineStr">
        <is>
          <t>Silver trades.quantity</t>
        </is>
      </c>
      <c r="N69" s="9" t="inlineStr">
        <is>
          <t>SUM(signed quantity); DECIMAL(28,6)</t>
        </is>
      </c>
      <c r="O69" s="9" t="inlineStr">
        <is>
          <t>Not null</t>
        </is>
      </c>
      <c r="P69" s="9" t="inlineStr">
        <is>
          <t>No physical PK/partition/clustering</t>
        </is>
      </c>
      <c r="Q69" s="9" t="inlineStr">
        <is>
          <t>Conditional scoped MERGE reconciliation</t>
        </is>
      </c>
      <c r="R69" s="9" t="inlineStr">
        <is>
          <t>database/tables/gold/positions.sql</t>
        </is>
      </c>
    </row>
    <row r="70" ht="34" customHeight="1">
      <c r="A70" s="8" t="inlineStr">
        <is>
          <t>cibc</t>
        </is>
      </c>
      <c r="B70" s="8" t="inlineStr">
        <is>
          <t>gold</t>
        </is>
      </c>
      <c r="C70" s="8" t="inlineStr">
        <is>
          <t>positions</t>
        </is>
      </c>
      <c r="D70" s="8" t="inlineStr">
        <is>
          <t>Daily cumulative positions and same-day valuation</t>
        </is>
      </c>
      <c r="E70" s="8" t="inlineStr">
        <is>
          <t>Date + book + counterparty + instrument + currency</t>
        </is>
      </c>
      <c r="F70" s="8" t="inlineStr">
        <is>
          <t>valuation_date + book_id + counterparty_id + instrument_id + currency</t>
        </is>
      </c>
      <c r="G70" s="8" t="inlineStr">
        <is>
          <t>closing_position_quantity</t>
        </is>
      </c>
      <c r="H70" s="8" t="inlineStr">
        <is>
          <t>DECIMAL(28,6)</t>
        </is>
      </c>
      <c r="I70" s="8" t="inlineStr">
        <is>
          <t>28,6</t>
        </is>
      </c>
      <c r="J70" s="8" t="inlineStr">
        <is>
          <t>No</t>
        </is>
      </c>
      <c r="K70" s="8" t="inlineStr">
        <is>
          <t>None declared</t>
        </is>
      </c>
      <c r="L70" s="8" t="inlineStr">
        <is>
          <t>Cumulative closing position</t>
        </is>
      </c>
      <c r="M70" s="8" t="inlineStr">
        <is>
          <t>Daily net quantity</t>
        </is>
      </c>
      <c r="N70" s="8" t="inlineStr">
        <is>
          <t>Cumulative SUM over session timeline; DECIMAL(28,6)</t>
        </is>
      </c>
      <c r="O70" s="8" t="inlineStr">
        <is>
          <t>Not null; may be negative</t>
        </is>
      </c>
      <c r="P70" s="8" t="inlineStr">
        <is>
          <t>No physical PK/partition/clustering</t>
        </is>
      </c>
      <c r="Q70" s="8" t="inlineStr">
        <is>
          <t>Conditional scoped MERGE reconciliation</t>
        </is>
      </c>
      <c r="R70" s="8" t="inlineStr">
        <is>
          <t>database/tables/gold/positions.sql</t>
        </is>
      </c>
    </row>
    <row r="71" ht="34" customHeight="1">
      <c r="A71" s="9" t="inlineStr">
        <is>
          <t>cibc</t>
        </is>
      </c>
      <c r="B71" s="9" t="inlineStr">
        <is>
          <t>gold</t>
        </is>
      </c>
      <c r="C71" s="9" t="inlineStr">
        <is>
          <t>positions</t>
        </is>
      </c>
      <c r="D71" s="9" t="inlineStr">
        <is>
          <t>Daily cumulative positions and same-day valuation</t>
        </is>
      </c>
      <c r="E71" s="9" t="inlineStr">
        <is>
          <t>Date + book + counterparty + instrument + currency</t>
        </is>
      </c>
      <c r="F71" s="9" t="inlineStr">
        <is>
          <t>valuation_date + book_id + counterparty_id + instrument_id + currency</t>
        </is>
      </c>
      <c r="G71" s="9" t="inlineStr">
        <is>
          <t>closing_price</t>
        </is>
      </c>
      <c r="H71" s="9" t="inlineStr">
        <is>
          <t>DECIMAL(18,6)</t>
        </is>
      </c>
      <c r="I71" s="9" t="inlineStr">
        <is>
          <t>18,6</t>
        </is>
      </c>
      <c r="J71" s="9" t="inlineStr">
        <is>
          <t>Yes</t>
        </is>
      </c>
      <c r="K71" s="9" t="inlineStr">
        <is>
          <t>None declared</t>
        </is>
      </c>
      <c r="L71" s="9" t="inlineStr">
        <is>
          <t>Exact-date closing mark</t>
        </is>
      </c>
      <c r="M71" s="9" t="inlineStr">
        <is>
          <t>Silver market_prices.close</t>
        </is>
      </c>
      <c r="N71" s="9" t="inlineStr">
        <is>
          <t>Join symbol/date/currency; DECIMAL(18,6)</t>
        </is>
      </c>
      <c r="O71" s="9" t="inlineStr">
        <is>
          <t>Nullable when no same-day close</t>
        </is>
      </c>
      <c r="P71" s="9" t="inlineStr">
        <is>
          <t>No physical PK/partition/clustering</t>
        </is>
      </c>
      <c r="Q71" s="9" t="inlineStr">
        <is>
          <t>Conditional scoped MERGE reconciliation</t>
        </is>
      </c>
      <c r="R71" s="9" t="inlineStr">
        <is>
          <t>database/tables/gold/positions.sql</t>
        </is>
      </c>
    </row>
    <row r="72" ht="34" customHeight="1">
      <c r="A72" s="8" t="inlineStr">
        <is>
          <t>cibc</t>
        </is>
      </c>
      <c r="B72" s="8" t="inlineStr">
        <is>
          <t>gold</t>
        </is>
      </c>
      <c r="C72" s="8" t="inlineStr">
        <is>
          <t>positions</t>
        </is>
      </c>
      <c r="D72" s="8" t="inlineStr">
        <is>
          <t>Daily cumulative positions and same-day valuation</t>
        </is>
      </c>
      <c r="E72" s="8" t="inlineStr">
        <is>
          <t>Date + book + counterparty + instrument + currency</t>
        </is>
      </c>
      <c r="F72" s="8" t="inlineStr">
        <is>
          <t>valuation_date + book_id + counterparty_id + instrument_id + currency</t>
        </is>
      </c>
      <c r="G72" s="8" t="inlineStr">
        <is>
          <t>market_value</t>
        </is>
      </c>
      <c r="H72" s="8" t="inlineStr">
        <is>
          <t>DECIMAL(38,6)</t>
        </is>
      </c>
      <c r="I72" s="8" t="inlineStr">
        <is>
          <t>38,6</t>
        </is>
      </c>
      <c r="J72" s="8" t="inlineStr">
        <is>
          <t>Yes</t>
        </is>
      </c>
      <c r="K72" s="8" t="inlineStr">
        <is>
          <t>None declared</t>
        </is>
      </c>
      <c r="L72" s="8" t="inlineStr">
        <is>
          <t>Position market value</t>
        </is>
      </c>
      <c r="M72" s="8" t="inlineStr">
        <is>
          <t>Closing quantity * closing price</t>
        </is>
      </c>
      <c r="N72" s="8" t="inlineStr">
        <is>
          <t>DECIMAL(38,6)</t>
        </is>
      </c>
      <c r="O72" s="8" t="inlineStr">
        <is>
          <t>Nullable when close is missing</t>
        </is>
      </c>
      <c r="P72" s="8" t="inlineStr">
        <is>
          <t>No physical PK/partition/clustering</t>
        </is>
      </c>
      <c r="Q72" s="8" t="inlineStr">
        <is>
          <t>Conditional scoped MERGE reconciliation</t>
        </is>
      </c>
      <c r="R72" s="8" t="inlineStr">
        <is>
          <t>database/tables/gold/positions.sql</t>
        </is>
      </c>
    </row>
    <row r="73" ht="34" customHeight="1">
      <c r="A73" s="9" t="inlineStr">
        <is>
          <t>cibc</t>
        </is>
      </c>
      <c r="B73" s="9" t="inlineStr">
        <is>
          <t>gold</t>
        </is>
      </c>
      <c r="C73" s="9" t="inlineStr">
        <is>
          <t>positions</t>
        </is>
      </c>
      <c r="D73" s="9" t="inlineStr">
        <is>
          <t>Daily cumulative positions and same-day valuation</t>
        </is>
      </c>
      <c r="E73" s="9" t="inlineStr">
        <is>
          <t>Date + book + counterparty + instrument + currency</t>
        </is>
      </c>
      <c r="F73" s="9" t="inlineStr">
        <is>
          <t>valuation_date + book_id + counterparty_id + instrument_id + currency</t>
        </is>
      </c>
      <c r="G73" s="9" t="inlineStr">
        <is>
          <t>run_id</t>
        </is>
      </c>
      <c r="H73" s="9" t="inlineStr">
        <is>
          <t>STRING</t>
        </is>
      </c>
      <c r="I73" s="9" t="inlineStr">
        <is>
          <t>N/A</t>
        </is>
      </c>
      <c r="J73" s="9" t="inlineStr">
        <is>
          <t>Yes</t>
        </is>
      </c>
      <c r="K73" s="9" t="inlineStr">
        <is>
          <t>None declared</t>
        </is>
      </c>
      <c r="L73" s="9" t="inlineStr">
        <is>
          <t>Pipeline run identifier</t>
        </is>
      </c>
      <c r="M73" s="9" t="inlineStr">
        <is>
          <t>Databricks Job run id</t>
        </is>
      </c>
      <c r="N73" s="9" t="inlineStr">
        <is>
          <t>Passed to task and persisted</t>
        </is>
      </c>
      <c r="O73" s="9" t="inlineStr">
        <is>
          <t>Required for lineage where source available</t>
        </is>
      </c>
      <c r="P73" s="9" t="inlineStr">
        <is>
          <t>No physical PK/partition/clustering</t>
        </is>
      </c>
      <c r="Q73" s="9" t="inlineStr">
        <is>
          <t>Conditional scoped MERGE reconciliation</t>
        </is>
      </c>
      <c r="R73" s="9" t="inlineStr">
        <is>
          <t>database/tables/gold/positions.sql</t>
        </is>
      </c>
    </row>
    <row r="74" ht="34" customHeight="1">
      <c r="A74" s="8" t="inlineStr">
        <is>
          <t>cibc</t>
        </is>
      </c>
      <c r="B74" s="8" t="inlineStr">
        <is>
          <t>gold</t>
        </is>
      </c>
      <c r="C74" s="8" t="inlineStr">
        <is>
          <t>positions</t>
        </is>
      </c>
      <c r="D74" s="8" t="inlineStr">
        <is>
          <t>Daily cumulative positions and same-day valuation</t>
        </is>
      </c>
      <c r="E74" s="8" t="inlineStr">
        <is>
          <t>Date + book + counterparty + instrument + currency</t>
        </is>
      </c>
      <c r="F74" s="8" t="inlineStr">
        <is>
          <t>valuation_date + book_id + counterparty_id + instrument_id + currency</t>
        </is>
      </c>
      <c r="G74" s="8" t="inlineStr">
        <is>
          <t>calculated_at</t>
        </is>
      </c>
      <c r="H74" s="8" t="inlineStr">
        <is>
          <t>TIMESTAMP</t>
        </is>
      </c>
      <c r="I74" s="8" t="inlineStr">
        <is>
          <t>N/A</t>
        </is>
      </c>
      <c r="J74" s="8" t="inlineStr">
        <is>
          <t>Yes</t>
        </is>
      </c>
      <c r="K74" s="8" t="inlineStr">
        <is>
          <t>None declared</t>
        </is>
      </c>
      <c r="L74" s="8" t="inlineStr">
        <is>
          <t>Calculation timestamp</t>
        </is>
      </c>
      <c r="M74" s="8" t="inlineStr">
        <is>
          <t>Gold processor runtime</t>
        </is>
      </c>
      <c r="N74" s="8" t="inlineStr">
        <is>
          <t>current_timestamp</t>
        </is>
      </c>
      <c r="O74" s="8" t="inlineStr">
        <is>
          <t>Nullable in DDL</t>
        </is>
      </c>
      <c r="P74" s="8" t="inlineStr">
        <is>
          <t>No physical PK/partition/clustering</t>
        </is>
      </c>
      <c r="Q74" s="8" t="inlineStr">
        <is>
          <t>Conditional scoped MERGE reconciliation</t>
        </is>
      </c>
      <c r="R74" s="8" t="inlineStr">
        <is>
          <t>database/tables/gold/positions.sql</t>
        </is>
      </c>
    </row>
    <row r="75" ht="34" customHeight="1">
      <c r="A75" s="9" t="inlineStr">
        <is>
          <t>cibc</t>
        </is>
      </c>
      <c r="B75" s="9" t="inlineStr">
        <is>
          <t>gold</t>
        </is>
      </c>
      <c r="C75" s="9" t="inlineStr">
        <is>
          <t>valuation_breaks</t>
        </is>
      </c>
      <c r="D75" s="9" t="inlineStr">
        <is>
          <t>Run-level missing price/baseline exceptions</t>
        </is>
      </c>
      <c r="E75" s="9" t="inlineStr">
        <is>
          <t>Run + instrument + date + break type, or trade-level unpriced trade</t>
        </is>
      </c>
      <c r="F75" s="9" t="inlineStr">
        <is>
          <t>run_id + nullable trade_id/instrument_id/date + break_type</t>
        </is>
      </c>
      <c r="G75" s="9" t="inlineStr">
        <is>
          <t>id</t>
        </is>
      </c>
      <c r="H75" s="9" t="inlineStr">
        <is>
          <t>BIGINT GENERATED ALWAYS AS IDENTITY</t>
        </is>
      </c>
      <c r="I75" s="9" t="inlineStr">
        <is>
          <t>N/A</t>
        </is>
      </c>
      <c r="J75" s="9" t="inlineStr">
        <is>
          <t>Generated</t>
        </is>
      </c>
      <c r="K75" s="9" t="inlineStr">
        <is>
          <t>None declared</t>
        </is>
      </c>
      <c r="L75" s="9" t="inlineStr">
        <is>
          <t>Delta identity surrogate</t>
        </is>
      </c>
      <c r="M75" s="9" t="inlineStr">
        <is>
          <t>Delta table engine</t>
        </is>
      </c>
      <c r="N75" s="9" t="inlineStr">
        <is>
          <t>GENERATED ALWAYS AS IDENTITY</t>
        </is>
      </c>
      <c r="O75" s="9" t="inlineStr">
        <is>
          <t>Not a business key; omitted from MERGE source</t>
        </is>
      </c>
      <c r="P75" s="9" t="inlineStr">
        <is>
          <t>No physical PK/partition/clustering</t>
        </is>
      </c>
      <c r="Q75" s="9" t="inlineStr">
        <is>
          <t>Insert-only MERGE; run history retained</t>
        </is>
      </c>
      <c r="R75" s="9" t="inlineStr">
        <is>
          <t>database/tables/gold/valuation_breaks.sql</t>
        </is>
      </c>
    </row>
    <row r="76" ht="34" customHeight="1">
      <c r="A76" s="8" t="inlineStr">
        <is>
          <t>cibc</t>
        </is>
      </c>
      <c r="B76" s="8" t="inlineStr">
        <is>
          <t>gold</t>
        </is>
      </c>
      <c r="C76" s="8" t="inlineStr">
        <is>
          <t>valuation_breaks</t>
        </is>
      </c>
      <c r="D76" s="8" t="inlineStr">
        <is>
          <t>Run-level missing price/baseline exceptions</t>
        </is>
      </c>
      <c r="E76" s="8" t="inlineStr">
        <is>
          <t>Run + instrument + date + break type, or trade-level unpriced trade</t>
        </is>
      </c>
      <c r="F76" s="8" t="inlineStr">
        <is>
          <t>run_id + nullable trade_id/instrument_id/date + break_type</t>
        </is>
      </c>
      <c r="G76" s="8" t="inlineStr">
        <is>
          <t>run_id</t>
        </is>
      </c>
      <c r="H76" s="8" t="inlineStr">
        <is>
          <t>STRING</t>
        </is>
      </c>
      <c r="I76" s="8" t="inlineStr">
        <is>
          <t>N/A</t>
        </is>
      </c>
      <c r="J76" s="8" t="inlineStr">
        <is>
          <t>Yes</t>
        </is>
      </c>
      <c r="K76" s="8" t="inlineStr">
        <is>
          <t>None declared</t>
        </is>
      </c>
      <c r="L76" s="8" t="inlineStr">
        <is>
          <t>Pipeline run identifier</t>
        </is>
      </c>
      <c r="M76" s="8" t="inlineStr">
        <is>
          <t>Databricks Job run id</t>
        </is>
      </c>
      <c r="N76" s="8" t="inlineStr">
        <is>
          <t>Passed to task and persisted</t>
        </is>
      </c>
      <c r="O76" s="8" t="inlineStr">
        <is>
          <t>Required for lineage where source available</t>
        </is>
      </c>
      <c r="P76" s="8" t="inlineStr">
        <is>
          <t>No physical PK/partition/clustering</t>
        </is>
      </c>
      <c r="Q76" s="8" t="inlineStr">
        <is>
          <t>Insert-only MERGE; run history retained</t>
        </is>
      </c>
      <c r="R76" s="8" t="inlineStr">
        <is>
          <t>database/tables/gold/valuation_breaks.sql</t>
        </is>
      </c>
    </row>
    <row r="77" ht="34" customHeight="1">
      <c r="A77" s="9" t="inlineStr">
        <is>
          <t>cibc</t>
        </is>
      </c>
      <c r="B77" s="9" t="inlineStr">
        <is>
          <t>gold</t>
        </is>
      </c>
      <c r="C77" s="9" t="inlineStr">
        <is>
          <t>valuation_breaks</t>
        </is>
      </c>
      <c r="D77" s="9" t="inlineStr">
        <is>
          <t>Run-level missing price/baseline exceptions</t>
        </is>
      </c>
      <c r="E77" s="9" t="inlineStr">
        <is>
          <t>Run + instrument + date + break type, or trade-level unpriced trade</t>
        </is>
      </c>
      <c r="F77" s="9" t="inlineStr">
        <is>
          <t>run_id + nullable trade_id/instrument_id/date + break_type</t>
        </is>
      </c>
      <c r="G77" s="9" t="inlineStr">
        <is>
          <t>trade_id</t>
        </is>
      </c>
      <c r="H77" s="9" t="inlineStr">
        <is>
          <t>STRING</t>
        </is>
      </c>
      <c r="I77" s="9" t="inlineStr">
        <is>
          <t>N/A</t>
        </is>
      </c>
      <c r="J77" s="9" t="inlineStr">
        <is>
          <t>Yes</t>
        </is>
      </c>
      <c r="K77" s="9" t="inlineStr">
        <is>
          <t>None declared</t>
        </is>
      </c>
      <c r="L77" s="9" t="inlineStr">
        <is>
          <t>Trade identifier on valuation break</t>
        </is>
      </c>
      <c r="M77" s="9" t="inlineStr">
        <is>
          <t>Silver trade</t>
        </is>
      </c>
      <c r="N77" s="9" t="inlineStr">
        <is>
          <t>Nullable for instrument/date-level break</t>
        </is>
      </c>
      <c r="O77" s="9" t="inlineStr">
        <is>
          <t>Nullable</t>
        </is>
      </c>
      <c r="P77" s="9" t="inlineStr">
        <is>
          <t>No physical PK/partition/clustering</t>
        </is>
      </c>
      <c r="Q77" s="9" t="inlineStr">
        <is>
          <t>Insert-only MERGE; run history retained</t>
        </is>
      </c>
      <c r="R77" s="9" t="inlineStr">
        <is>
          <t>database/tables/gold/valuation_breaks.sql</t>
        </is>
      </c>
    </row>
    <row r="78" ht="34" customHeight="1">
      <c r="A78" s="8" t="inlineStr">
        <is>
          <t>cibc</t>
        </is>
      </c>
      <c r="B78" s="8" t="inlineStr">
        <is>
          <t>gold</t>
        </is>
      </c>
      <c r="C78" s="8" t="inlineStr">
        <is>
          <t>valuation_breaks</t>
        </is>
      </c>
      <c r="D78" s="8" t="inlineStr">
        <is>
          <t>Run-level missing price/baseline exceptions</t>
        </is>
      </c>
      <c r="E78" s="8" t="inlineStr">
        <is>
          <t>Run + instrument + date + break type, or trade-level unpriced trade</t>
        </is>
      </c>
      <c r="F78" s="8" t="inlineStr">
        <is>
          <t>run_id + nullable trade_id/instrument_id/date + break_type</t>
        </is>
      </c>
      <c r="G78" s="8" t="inlineStr">
        <is>
          <t>instrument_id</t>
        </is>
      </c>
      <c r="H78" s="8" t="inlineStr">
        <is>
          <t>STRING</t>
        </is>
      </c>
      <c r="I78" s="8" t="inlineStr">
        <is>
          <t>N/A</t>
        </is>
      </c>
      <c r="J78" s="8" t="inlineStr">
        <is>
          <t>Yes</t>
        </is>
      </c>
      <c r="K78" s="8" t="inlineStr">
        <is>
          <t>None declared</t>
        </is>
      </c>
      <c r="L78" s="8" t="inlineStr">
        <is>
          <t>Instrument identifier on position/break</t>
        </is>
      </c>
      <c r="M78" s="8" t="inlineStr">
        <is>
          <t>Configured mapping or Silver trade</t>
        </is>
      </c>
      <c r="N78" s="8" t="inlineStr">
        <is>
          <t>STRING</t>
        </is>
      </c>
      <c r="O78" s="8" t="inlineStr">
        <is>
          <t>Required on accepted trade; nullable in break DDL</t>
        </is>
      </c>
      <c r="P78" s="8" t="inlineStr">
        <is>
          <t>No physical PK/partition/clustering</t>
        </is>
      </c>
      <c r="Q78" s="8" t="inlineStr">
        <is>
          <t>Insert-only MERGE; run history retained</t>
        </is>
      </c>
      <c r="R78" s="8" t="inlineStr">
        <is>
          <t>database/tables/gold/valuation_breaks.sql</t>
        </is>
      </c>
    </row>
    <row r="79" ht="34" customHeight="1">
      <c r="A79" s="9" t="inlineStr">
        <is>
          <t>cibc</t>
        </is>
      </c>
      <c r="B79" s="9" t="inlineStr">
        <is>
          <t>gold</t>
        </is>
      </c>
      <c r="C79" s="9" t="inlineStr">
        <is>
          <t>valuation_breaks</t>
        </is>
      </c>
      <c r="D79" s="9" t="inlineStr">
        <is>
          <t>Run-level missing price/baseline exceptions</t>
        </is>
      </c>
      <c r="E79" s="9" t="inlineStr">
        <is>
          <t>Run + instrument + date + break type, or trade-level unpriced trade</t>
        </is>
      </c>
      <c r="F79" s="9" t="inlineStr">
        <is>
          <t>run_id + nullable trade_id/instrument_id/date + break_type</t>
        </is>
      </c>
      <c r="G79" s="9" t="inlineStr">
        <is>
          <t>valuation_date</t>
        </is>
      </c>
      <c r="H79" s="9" t="inlineStr">
        <is>
          <t>DATE</t>
        </is>
      </c>
      <c r="I79" s="9" t="inlineStr">
        <is>
          <t>N/A</t>
        </is>
      </c>
      <c r="J79" s="9" t="inlineStr">
        <is>
          <t>Yes</t>
        </is>
      </c>
      <c r="K79" s="9" t="inlineStr">
        <is>
          <t>None declared</t>
        </is>
      </c>
      <c r="L79" s="9" t="inlineStr">
        <is>
          <t>Date represented by position/P&amp;L/break</t>
        </is>
      </c>
      <c r="M79" s="9" t="inlineStr">
        <is>
          <t>Trade/calendar/price dates</t>
        </is>
      </c>
      <c r="N79" s="9" t="inlineStr">
        <is>
          <t>DATE</t>
        </is>
      </c>
      <c r="O79" s="9" t="inlineStr">
        <is>
          <t>Required in position and P&amp;L</t>
        </is>
      </c>
      <c r="P79" s="9" t="inlineStr">
        <is>
          <t>No physical PK/partition/clustering</t>
        </is>
      </c>
      <c r="Q79" s="9" t="inlineStr">
        <is>
          <t>Insert-only MERGE; run history retained</t>
        </is>
      </c>
      <c r="R79" s="9" t="inlineStr">
        <is>
          <t>database/tables/gold/valuation_breaks.sql</t>
        </is>
      </c>
    </row>
    <row r="80" ht="34" customHeight="1">
      <c r="A80" s="8" t="inlineStr">
        <is>
          <t>cibc</t>
        </is>
      </c>
      <c r="B80" s="8" t="inlineStr">
        <is>
          <t>gold</t>
        </is>
      </c>
      <c r="C80" s="8" t="inlineStr">
        <is>
          <t>valuation_breaks</t>
        </is>
      </c>
      <c r="D80" s="8" t="inlineStr">
        <is>
          <t>Run-level missing price/baseline exceptions</t>
        </is>
      </c>
      <c r="E80" s="8" t="inlineStr">
        <is>
          <t>Run + instrument + date + break type, or trade-level unpriced trade</t>
        </is>
      </c>
      <c r="F80" s="8" t="inlineStr">
        <is>
          <t>run_id + nullable trade_id/instrument_id/date + break_type</t>
        </is>
      </c>
      <c r="G80" s="8" t="inlineStr">
        <is>
          <t>break_type</t>
        </is>
      </c>
      <c r="H80" s="8" t="inlineStr">
        <is>
          <t>STRING</t>
        </is>
      </c>
      <c r="I80" s="8" t="inlineStr">
        <is>
          <t>N/A</t>
        </is>
      </c>
      <c r="J80" s="8" t="inlineStr">
        <is>
          <t>Yes</t>
        </is>
      </c>
      <c r="K80" s="8" t="inlineStr">
        <is>
          <t>None declared</t>
        </is>
      </c>
      <c r="L80" s="8" t="inlineStr">
        <is>
          <t>Valuation exception category</t>
        </is>
      </c>
      <c r="M80" s="8" t="inlineStr">
        <is>
          <t>Gold calculation</t>
        </is>
      </c>
      <c r="N80" s="8" t="inlineStr">
        <is>
          <t>MISSING_MARKET_PRICE or MISSING_PNL_BASELINE</t>
        </is>
      </c>
      <c r="O80" s="8" t="inlineStr">
        <is>
          <t>Required</t>
        </is>
      </c>
      <c r="P80" s="8" t="inlineStr">
        <is>
          <t>No physical PK/partition/clustering</t>
        </is>
      </c>
      <c r="Q80" s="8" t="inlineStr">
        <is>
          <t>Insert-only MERGE; run history retained</t>
        </is>
      </c>
      <c r="R80" s="8" t="inlineStr">
        <is>
          <t>database/tables/gold/valuation_breaks.sql</t>
        </is>
      </c>
    </row>
    <row r="81" ht="34" customHeight="1">
      <c r="A81" s="9" t="inlineStr">
        <is>
          <t>cibc</t>
        </is>
      </c>
      <c r="B81" s="9" t="inlineStr">
        <is>
          <t>gold</t>
        </is>
      </c>
      <c r="C81" s="9" t="inlineStr">
        <is>
          <t>valuation_breaks</t>
        </is>
      </c>
      <c r="D81" s="9" t="inlineStr">
        <is>
          <t>Run-level missing price/baseline exceptions</t>
        </is>
      </c>
      <c r="E81" s="9" t="inlineStr">
        <is>
          <t>Run + instrument + date + break type, or trade-level unpriced trade</t>
        </is>
      </c>
      <c r="F81" s="9" t="inlineStr">
        <is>
          <t>run_id + nullable trade_id/instrument_id/date + break_type</t>
        </is>
      </c>
      <c r="G81" s="9" t="inlineStr">
        <is>
          <t>break_description</t>
        </is>
      </c>
      <c r="H81" s="9" t="inlineStr">
        <is>
          <t>STRING</t>
        </is>
      </c>
      <c r="I81" s="9" t="inlineStr">
        <is>
          <t>N/A</t>
        </is>
      </c>
      <c r="J81" s="9" t="inlineStr">
        <is>
          <t>Yes</t>
        </is>
      </c>
      <c r="K81" s="9" t="inlineStr">
        <is>
          <t>None declared</t>
        </is>
      </c>
      <c r="L81" s="9" t="inlineStr">
        <is>
          <t>Human-readable exception detail</t>
        </is>
      </c>
      <c r="M81" s="9" t="inlineStr">
        <is>
          <t>Gold calculation</t>
        </is>
      </c>
      <c r="N81" s="9" t="inlineStr">
        <is>
          <t>Constructed from book/instrument/date context</t>
        </is>
      </c>
      <c r="O81" s="9" t="inlineStr">
        <is>
          <t>Required</t>
        </is>
      </c>
      <c r="P81" s="9" t="inlineStr">
        <is>
          <t>No physical PK/partition/clustering</t>
        </is>
      </c>
      <c r="Q81" s="9" t="inlineStr">
        <is>
          <t>Insert-only MERGE; run history retained</t>
        </is>
      </c>
      <c r="R81" s="9" t="inlineStr">
        <is>
          <t>database/tables/gold/valuation_breaks.sql</t>
        </is>
      </c>
    </row>
    <row r="82" ht="34" customHeight="1">
      <c r="A82" s="8" t="inlineStr">
        <is>
          <t>cibc</t>
        </is>
      </c>
      <c r="B82" s="8" t="inlineStr">
        <is>
          <t>gold</t>
        </is>
      </c>
      <c r="C82" s="8" t="inlineStr">
        <is>
          <t>valuation_breaks</t>
        </is>
      </c>
      <c r="D82" s="8" t="inlineStr">
        <is>
          <t>Run-level missing price/baseline exceptions</t>
        </is>
      </c>
      <c r="E82" s="8" t="inlineStr">
        <is>
          <t>Run + instrument + date + break type, or trade-level unpriced trade</t>
        </is>
      </c>
      <c r="F82" s="8" t="inlineStr">
        <is>
          <t>run_id + nullable trade_id/instrument_id/date + break_type</t>
        </is>
      </c>
      <c r="G82" s="8" t="inlineStr">
        <is>
          <t>detected_at</t>
        </is>
      </c>
      <c r="H82" s="8" t="inlineStr">
        <is>
          <t>TIMESTAMP</t>
        </is>
      </c>
      <c r="I82" s="8" t="inlineStr">
        <is>
          <t>N/A</t>
        </is>
      </c>
      <c r="J82" s="8" t="inlineStr">
        <is>
          <t>Yes</t>
        </is>
      </c>
      <c r="K82" s="8" t="inlineStr">
        <is>
          <t>None declared</t>
        </is>
      </c>
      <c r="L82" s="8" t="inlineStr">
        <is>
          <t>Break detection timestamp</t>
        </is>
      </c>
      <c r="M82" s="8" t="inlineStr">
        <is>
          <t>Gold processor runtime</t>
        </is>
      </c>
      <c r="N82" s="8" t="inlineStr">
        <is>
          <t>current_timestamp</t>
        </is>
      </c>
      <c r="O82" s="8" t="inlineStr">
        <is>
          <t>Required</t>
        </is>
      </c>
      <c r="P82" s="8" t="inlineStr">
        <is>
          <t>No physical PK/partition/clustering</t>
        </is>
      </c>
      <c r="Q82" s="8" t="inlineStr">
        <is>
          <t>Insert-only MERGE; run history retained</t>
        </is>
      </c>
      <c r="R82" s="8" t="inlineStr">
        <is>
          <t>database/tables/gold/valuation_breaks.sql</t>
        </is>
      </c>
    </row>
    <row r="83" ht="34" customHeight="1">
      <c r="A83" s="9" t="inlineStr">
        <is>
          <t>cibc</t>
        </is>
      </c>
      <c r="B83" s="9" t="inlineStr">
        <is>
          <t>gold</t>
        </is>
      </c>
      <c r="C83" s="9" t="inlineStr">
        <is>
          <t>valuation_breaks</t>
        </is>
      </c>
      <c r="D83" s="9" t="inlineStr">
        <is>
          <t>Run-level missing price/baseline exceptions</t>
        </is>
      </c>
      <c r="E83" s="9" t="inlineStr">
        <is>
          <t>Run + instrument + date + break type, or trade-level unpriced trade</t>
        </is>
      </c>
      <c r="F83" s="9" t="inlineStr">
        <is>
          <t>run_id + nullable trade_id/instrument_id/date + break_type</t>
        </is>
      </c>
      <c r="G83" s="9" t="inlineStr">
        <is>
          <t>status</t>
        </is>
      </c>
      <c r="H83" s="9" t="inlineStr">
        <is>
          <t>STRING</t>
        </is>
      </c>
      <c r="I83" s="9" t="inlineStr">
        <is>
          <t>N/A</t>
        </is>
      </c>
      <c r="J83" s="9" t="inlineStr">
        <is>
          <t>Yes</t>
        </is>
      </c>
      <c r="K83" s="9" t="inlineStr">
        <is>
          <t>None declared</t>
        </is>
      </c>
      <c r="L83" s="9" t="inlineStr">
        <is>
          <t>Break or task state</t>
        </is>
      </c>
      <c r="M83" s="9" t="inlineStr">
        <is>
          <t>Pipeline</t>
        </is>
      </c>
      <c r="N83" s="9" t="inlineStr">
        <is>
          <t>OPEN for valuation breaks; STARTED/SUCCESS/FAILED for audit</t>
        </is>
      </c>
      <c r="O83" s="9" t="inlineStr">
        <is>
          <t>Required in business record</t>
        </is>
      </c>
      <c r="P83" s="9" t="inlineStr">
        <is>
          <t>No physical PK/partition/clustering</t>
        </is>
      </c>
      <c r="Q83" s="9" t="inlineStr">
        <is>
          <t>Insert-only MERGE; run history retained</t>
        </is>
      </c>
      <c r="R83" s="9" t="inlineStr">
        <is>
          <t>database/tables/gold/valuation_breaks.sql</t>
        </is>
      </c>
    </row>
    <row r="84" ht="34" customHeight="1">
      <c r="A84" s="8" t="inlineStr">
        <is>
          <t>cibc</t>
        </is>
      </c>
      <c r="B84" s="8" t="inlineStr">
        <is>
          <t>silver</t>
        </is>
      </c>
      <c r="C84" s="8" t="inlineStr">
        <is>
          <t>market_prices</t>
        </is>
      </c>
      <c r="D84" s="8" t="inlineStr">
        <is>
          <t>Validated daily closing prices</t>
        </is>
      </c>
      <c r="E84" s="8" t="inlineStr">
        <is>
          <t>One symbol and price date</t>
        </is>
      </c>
      <c r="F84" s="8" t="inlineStr">
        <is>
          <t>symbol + price_date; positive close CHECK</t>
        </is>
      </c>
      <c r="G84" s="8" t="inlineStr">
        <is>
          <t>id</t>
        </is>
      </c>
      <c r="H84" s="8" t="inlineStr">
        <is>
          <t>BIGINT GENERATED ALWAYS AS IDENTITY</t>
        </is>
      </c>
      <c r="I84" s="8" t="inlineStr">
        <is>
          <t>N/A</t>
        </is>
      </c>
      <c r="J84" s="8" t="inlineStr">
        <is>
          <t>Generated</t>
        </is>
      </c>
      <c r="K84" s="8" t="inlineStr">
        <is>
          <t>None declared</t>
        </is>
      </c>
      <c r="L84" s="8" t="inlineStr">
        <is>
          <t>Delta identity surrogate</t>
        </is>
      </c>
      <c r="M84" s="8" t="inlineStr">
        <is>
          <t>Delta table engine</t>
        </is>
      </c>
      <c r="N84" s="8" t="inlineStr">
        <is>
          <t>GENERATED ALWAYS AS IDENTITY</t>
        </is>
      </c>
      <c r="O84" s="8" t="inlineStr">
        <is>
          <t>Not a business key; omitted from MERGE source</t>
        </is>
      </c>
      <c r="P84" s="8" t="inlineStr">
        <is>
          <t>No physical PK/partition/clustering</t>
        </is>
      </c>
      <c r="Q84" s="8" t="inlineStr">
        <is>
          <t>Conditional MERGE on symbol + price_date</t>
        </is>
      </c>
      <c r="R84" s="8" t="inlineStr">
        <is>
          <t>database/tables/silver/market_prices.sql</t>
        </is>
      </c>
    </row>
    <row r="85" ht="34" customHeight="1">
      <c r="A85" s="9" t="inlineStr">
        <is>
          <t>cibc</t>
        </is>
      </c>
      <c r="B85" s="9" t="inlineStr">
        <is>
          <t>silver</t>
        </is>
      </c>
      <c r="C85" s="9" t="inlineStr">
        <is>
          <t>market_prices</t>
        </is>
      </c>
      <c r="D85" s="9" t="inlineStr">
        <is>
          <t>Validated daily closing prices</t>
        </is>
      </c>
      <c r="E85" s="9" t="inlineStr">
        <is>
          <t>One symbol and price date</t>
        </is>
      </c>
      <c r="F85" s="9" t="inlineStr">
        <is>
          <t>symbol + price_date; positive close CHECK</t>
        </is>
      </c>
      <c r="G85" s="9" t="inlineStr">
        <is>
          <t>symbol</t>
        </is>
      </c>
      <c r="H85" s="9" t="inlineStr">
        <is>
          <t>STRING</t>
        </is>
      </c>
      <c r="I85" s="9" t="inlineStr">
        <is>
          <t>N/A</t>
        </is>
      </c>
      <c r="J85" s="9" t="inlineStr">
        <is>
          <t>No</t>
        </is>
      </c>
      <c r="K85" s="9" t="inlineStr">
        <is>
          <t>None declared</t>
        </is>
      </c>
      <c r="L85" s="9" t="inlineStr">
        <is>
          <t>Market ticker symbol</t>
        </is>
      </c>
      <c r="M85" s="9" t="inlineStr">
        <is>
          <t>CSV.symbol or configured instrument mapping</t>
        </is>
      </c>
      <c r="N85" s="9" t="inlineStr">
        <is>
          <t>Normalized/validated against instrument map</t>
        </is>
      </c>
      <c r="O85" s="9" t="inlineStr">
        <is>
          <t>Required; mapped and consistent</t>
        </is>
      </c>
      <c r="P85" s="9" t="inlineStr">
        <is>
          <t>No physical PK/partition/clustering</t>
        </is>
      </c>
      <c r="Q85" s="9" t="inlineStr">
        <is>
          <t>Conditional MERGE on symbol + price_date</t>
        </is>
      </c>
      <c r="R85" s="9" t="inlineStr">
        <is>
          <t>database/tables/silver/market_prices.sql</t>
        </is>
      </c>
    </row>
    <row r="86" ht="34" customHeight="1">
      <c r="A86" s="8" t="inlineStr">
        <is>
          <t>cibc</t>
        </is>
      </c>
      <c r="B86" s="8" t="inlineStr">
        <is>
          <t>silver</t>
        </is>
      </c>
      <c r="C86" s="8" t="inlineStr">
        <is>
          <t>market_prices</t>
        </is>
      </c>
      <c r="D86" s="8" t="inlineStr">
        <is>
          <t>Validated daily closing prices</t>
        </is>
      </c>
      <c r="E86" s="8" t="inlineStr">
        <is>
          <t>One symbol and price date</t>
        </is>
      </c>
      <c r="F86" s="8" t="inlineStr">
        <is>
          <t>symbol + price_date; positive close CHECK</t>
        </is>
      </c>
      <c r="G86" s="8" t="inlineStr">
        <is>
          <t>price_date</t>
        </is>
      </c>
      <c r="H86" s="8" t="inlineStr">
        <is>
          <t>DATE</t>
        </is>
      </c>
      <c r="I86" s="8" t="inlineStr">
        <is>
          <t>N/A</t>
        </is>
      </c>
      <c r="J86" s="8" t="inlineStr">
        <is>
          <t>No</t>
        </is>
      </c>
      <c r="K86" s="8" t="inlineStr">
        <is>
          <t>None declared</t>
        </is>
      </c>
      <c r="L86" s="8" t="inlineStr">
        <is>
          <t>Market price effective date</t>
        </is>
      </c>
      <c r="M86" s="8" t="inlineStr">
        <is>
          <t>Provider date</t>
        </is>
      </c>
      <c r="N86" s="8" t="inlineStr">
        <is>
          <t>try_cast to DATE</t>
        </is>
      </c>
      <c r="O86" s="8" t="inlineStr">
        <is>
          <t>Expected supported session; not future</t>
        </is>
      </c>
      <c r="P86" s="8" t="inlineStr">
        <is>
          <t>No physical PK/partition/clustering</t>
        </is>
      </c>
      <c r="Q86" s="8" t="inlineStr">
        <is>
          <t>Conditional MERGE on symbol + price_date</t>
        </is>
      </c>
      <c r="R86" s="8" t="inlineStr">
        <is>
          <t>database/tables/silver/market_prices.sql</t>
        </is>
      </c>
    </row>
    <row r="87" ht="34" customHeight="1">
      <c r="A87" s="9" t="inlineStr">
        <is>
          <t>cibc</t>
        </is>
      </c>
      <c r="B87" s="9" t="inlineStr">
        <is>
          <t>silver</t>
        </is>
      </c>
      <c r="C87" s="9" t="inlineStr">
        <is>
          <t>market_prices</t>
        </is>
      </c>
      <c r="D87" s="9" t="inlineStr">
        <is>
          <t>Validated daily closing prices</t>
        </is>
      </c>
      <c r="E87" s="9" t="inlineStr">
        <is>
          <t>One symbol and price date</t>
        </is>
      </c>
      <c r="F87" s="9" t="inlineStr">
        <is>
          <t>symbol + price_date; positive close CHECK</t>
        </is>
      </c>
      <c r="G87" s="9" t="inlineStr">
        <is>
          <t>close</t>
        </is>
      </c>
      <c r="H87" s="9" t="inlineStr">
        <is>
          <t>DECIMAL(18,6)</t>
        </is>
      </c>
      <c r="I87" s="9" t="inlineStr">
        <is>
          <t>18,6</t>
        </is>
      </c>
      <c r="J87" s="9" t="inlineStr">
        <is>
          <t>No</t>
        </is>
      </c>
      <c r="K87" s="9" t="inlineStr">
        <is>
          <t>None declared</t>
        </is>
      </c>
      <c r="L87" s="9" t="inlineStr">
        <is>
          <t>Unadjusted daily closing price</t>
        </is>
      </c>
      <c r="M87" s="9" t="inlineStr">
        <is>
          <t>Provider Close</t>
        </is>
      </c>
      <c r="N87" s="9" t="inlineStr">
        <is>
          <t>try_cast to DECIMAL(18,6)</t>
        </is>
      </c>
      <c r="O87" s="9" t="inlineStr">
        <is>
          <t>Required, finite, positive; currency USD</t>
        </is>
      </c>
      <c r="P87" s="9" t="inlineStr">
        <is>
          <t>No physical PK/partition/clustering</t>
        </is>
      </c>
      <c r="Q87" s="9" t="inlineStr">
        <is>
          <t>Conditional MERGE on symbol + price_date</t>
        </is>
      </c>
      <c r="R87" s="9" t="inlineStr">
        <is>
          <t>database/tables/silver/market_prices.sql</t>
        </is>
      </c>
    </row>
    <row r="88" ht="34" customHeight="1">
      <c r="A88" s="8" t="inlineStr">
        <is>
          <t>cibc</t>
        </is>
      </c>
      <c r="B88" s="8" t="inlineStr">
        <is>
          <t>silver</t>
        </is>
      </c>
      <c r="C88" s="8" t="inlineStr">
        <is>
          <t>market_prices</t>
        </is>
      </c>
      <c r="D88" s="8" t="inlineStr">
        <is>
          <t>Validated daily closing prices</t>
        </is>
      </c>
      <c r="E88" s="8" t="inlineStr">
        <is>
          <t>One symbol and price date</t>
        </is>
      </c>
      <c r="F88" s="8" t="inlineStr">
        <is>
          <t>symbol + price_date; positive close CHECK</t>
        </is>
      </c>
      <c r="G88" s="8" t="inlineStr">
        <is>
          <t>currency</t>
        </is>
      </c>
      <c r="H88" s="8" t="inlineStr">
        <is>
          <t>STRING</t>
        </is>
      </c>
      <c r="I88" s="8" t="inlineStr">
        <is>
          <t>N/A</t>
        </is>
      </c>
      <c r="J88" s="8" t="inlineStr">
        <is>
          <t>No</t>
        </is>
      </c>
      <c r="K88" s="8" t="inlineStr">
        <is>
          <t>None declared</t>
        </is>
      </c>
      <c r="L88" s="8" t="inlineStr">
        <is>
          <t>Financial reporting currency</t>
        </is>
      </c>
      <c r="M88" s="8" t="inlineStr">
        <is>
          <t>Trade/price source</t>
        </is>
      </c>
      <c r="N88" s="8" t="inlineStr">
        <is>
          <t>USD-only prototype</t>
        </is>
      </c>
      <c r="O88" s="8" t="inlineStr">
        <is>
          <t>Required on core accepted/Gold data</t>
        </is>
      </c>
      <c r="P88" s="8" t="inlineStr">
        <is>
          <t>No physical PK/partition/clustering</t>
        </is>
      </c>
      <c r="Q88" s="8" t="inlineStr">
        <is>
          <t>Conditional MERGE on symbol + price_date</t>
        </is>
      </c>
      <c r="R88" s="8" t="inlineStr">
        <is>
          <t>database/tables/silver/market_prices.sql</t>
        </is>
      </c>
    </row>
    <row r="89" ht="34" customHeight="1">
      <c r="A89" s="9" t="inlineStr">
        <is>
          <t>cibc</t>
        </is>
      </c>
      <c r="B89" s="9" t="inlineStr">
        <is>
          <t>silver</t>
        </is>
      </c>
      <c r="C89" s="9" t="inlineStr">
        <is>
          <t>market_prices</t>
        </is>
      </c>
      <c r="D89" s="9" t="inlineStr">
        <is>
          <t>Validated daily closing prices</t>
        </is>
      </c>
      <c r="E89" s="9" t="inlineStr">
        <is>
          <t>One symbol and price date</t>
        </is>
      </c>
      <c r="F89" s="9" t="inlineStr">
        <is>
          <t>symbol + price_date; positive close CHECK</t>
        </is>
      </c>
      <c r="G89" s="9" t="inlineStr">
        <is>
          <t>source_api</t>
        </is>
      </c>
      <c r="H89" s="9" t="inlineStr">
        <is>
          <t>STRING</t>
        </is>
      </c>
      <c r="I89" s="9" t="inlineStr">
        <is>
          <t>N/A</t>
        </is>
      </c>
      <c r="J89" s="9" t="inlineStr">
        <is>
          <t>Yes</t>
        </is>
      </c>
      <c r="K89" s="9" t="inlineStr">
        <is>
          <t>None declared</t>
        </is>
      </c>
      <c r="L89" s="9" t="inlineStr">
        <is>
          <t>Price provider identifier</t>
        </is>
      </c>
      <c r="M89" s="9" t="inlineStr">
        <is>
          <t>yfinance.download</t>
        </is>
      </c>
      <c r="N89" s="9" t="inlineStr">
        <is>
          <t>Added by price adapter</t>
        </is>
      </c>
      <c r="O89" s="9" t="inlineStr">
        <is>
          <t>Provider identity recorded; approved source TBD</t>
        </is>
      </c>
      <c r="P89" s="9" t="inlineStr">
        <is>
          <t>No physical PK/partition/clustering</t>
        </is>
      </c>
      <c r="Q89" s="9" t="inlineStr">
        <is>
          <t>Conditional MERGE on symbol + price_date</t>
        </is>
      </c>
      <c r="R89" s="9" t="inlineStr">
        <is>
          <t>database/tables/silver/market_prices.sql</t>
        </is>
      </c>
    </row>
    <row r="90" ht="34" customHeight="1">
      <c r="A90" s="8" t="inlineStr">
        <is>
          <t>cibc</t>
        </is>
      </c>
      <c r="B90" s="8" t="inlineStr">
        <is>
          <t>silver</t>
        </is>
      </c>
      <c r="C90" s="8" t="inlineStr">
        <is>
          <t>market_prices</t>
        </is>
      </c>
      <c r="D90" s="8" t="inlineStr">
        <is>
          <t>Validated daily closing prices</t>
        </is>
      </c>
      <c r="E90" s="8" t="inlineStr">
        <is>
          <t>One symbol and price date</t>
        </is>
      </c>
      <c r="F90" s="8" t="inlineStr">
        <is>
          <t>symbol + price_date; positive close CHECK</t>
        </is>
      </c>
      <c r="G90" s="8" t="inlineStr">
        <is>
          <t>ingestion_timestamp</t>
        </is>
      </c>
      <c r="H90" s="8" t="inlineStr">
        <is>
          <t>TIMESTAMP</t>
        </is>
      </c>
      <c r="I90" s="8" t="inlineStr">
        <is>
          <t>N/A</t>
        </is>
      </c>
      <c r="J90" s="8" t="inlineStr">
        <is>
          <t>Yes</t>
        </is>
      </c>
      <c r="K90" s="8" t="inlineStr">
        <is>
          <t>None declared</t>
        </is>
      </c>
      <c r="L90" s="8" t="inlineStr">
        <is>
          <t>Ingestion event timestamp</t>
        </is>
      </c>
      <c r="M90" s="8" t="inlineStr">
        <is>
          <t>Pipeline runtime</t>
        </is>
      </c>
      <c r="N90" s="8" t="inlineStr">
        <is>
          <t>current_timestamp or provider batch timestamp</t>
        </is>
      </c>
      <c r="O90" s="8" t="inlineStr">
        <is>
          <t>Audit lineage</t>
        </is>
      </c>
      <c r="P90" s="8" t="inlineStr">
        <is>
          <t>No physical PK/partition/clustering</t>
        </is>
      </c>
      <c r="Q90" s="8" t="inlineStr">
        <is>
          <t>Conditional MERGE on symbol + price_date</t>
        </is>
      </c>
      <c r="R90" s="8" t="inlineStr">
        <is>
          <t>database/tables/silver/market_prices.sql</t>
        </is>
      </c>
    </row>
    <row r="91" ht="34" customHeight="1">
      <c r="A91" s="9" t="inlineStr">
        <is>
          <t>cibc</t>
        </is>
      </c>
      <c r="B91" s="9" t="inlineStr">
        <is>
          <t>silver</t>
        </is>
      </c>
      <c r="C91" s="9" t="inlineStr">
        <is>
          <t>market_prices</t>
        </is>
      </c>
      <c r="D91" s="9" t="inlineStr">
        <is>
          <t>Validated daily closing prices</t>
        </is>
      </c>
      <c r="E91" s="9" t="inlineStr">
        <is>
          <t>One symbol and price date</t>
        </is>
      </c>
      <c r="F91" s="9" t="inlineStr">
        <is>
          <t>symbol + price_date; positive close CHECK</t>
        </is>
      </c>
      <c r="G91" s="9" t="inlineStr">
        <is>
          <t>run_id</t>
        </is>
      </c>
      <c r="H91" s="9" t="inlineStr">
        <is>
          <t>STRING</t>
        </is>
      </c>
      <c r="I91" s="9" t="inlineStr">
        <is>
          <t>N/A</t>
        </is>
      </c>
      <c r="J91" s="9" t="inlineStr">
        <is>
          <t>Yes</t>
        </is>
      </c>
      <c r="K91" s="9" t="inlineStr">
        <is>
          <t>None declared</t>
        </is>
      </c>
      <c r="L91" s="9" t="inlineStr">
        <is>
          <t>Pipeline run identifier</t>
        </is>
      </c>
      <c r="M91" s="9" t="inlineStr">
        <is>
          <t>Databricks Job run id</t>
        </is>
      </c>
      <c r="N91" s="9" t="inlineStr">
        <is>
          <t>Passed to task and persisted</t>
        </is>
      </c>
      <c r="O91" s="9" t="inlineStr">
        <is>
          <t>Required for lineage where source available</t>
        </is>
      </c>
      <c r="P91" s="9" t="inlineStr">
        <is>
          <t>No physical PK/partition/clustering</t>
        </is>
      </c>
      <c r="Q91" s="9" t="inlineStr">
        <is>
          <t>Conditional MERGE on symbol + price_date</t>
        </is>
      </c>
      <c r="R91" s="9" t="inlineStr">
        <is>
          <t>database/tables/silver/market_prices.sql</t>
        </is>
      </c>
    </row>
    <row r="92" ht="34" customHeight="1">
      <c r="A92" s="8" t="inlineStr">
        <is>
          <t>cibc</t>
        </is>
      </c>
      <c r="B92" s="8" t="inlineStr">
        <is>
          <t>silver</t>
        </is>
      </c>
      <c r="C92" s="8" t="inlineStr">
        <is>
          <t>market_prices</t>
        </is>
      </c>
      <c r="D92" s="8" t="inlineStr">
        <is>
          <t>Validated daily closing prices</t>
        </is>
      </c>
      <c r="E92" s="8" t="inlineStr">
        <is>
          <t>One symbol and price date</t>
        </is>
      </c>
      <c r="F92" s="8" t="inlineStr">
        <is>
          <t>symbol + price_date; positive close CHECK</t>
        </is>
      </c>
      <c r="G92" s="8" t="inlineStr">
        <is>
          <t>bronze_run_id</t>
        </is>
      </c>
      <c r="H92" s="8" t="inlineStr">
        <is>
          <t>STRING</t>
        </is>
      </c>
      <c r="I92" s="8" t="inlineStr">
        <is>
          <t>N/A</t>
        </is>
      </c>
      <c r="J92" s="8" t="inlineStr">
        <is>
          <t>Yes</t>
        </is>
      </c>
      <c r="K92" s="8" t="inlineStr">
        <is>
          <t>None declared</t>
        </is>
      </c>
      <c r="L92" s="8" t="inlineStr">
        <is>
          <t>Bronze source run identifier</t>
        </is>
      </c>
      <c r="M92" s="8" t="inlineStr">
        <is>
          <t>Bronze.run_id</t>
        </is>
      </c>
      <c r="N92" s="8" t="inlineStr">
        <is>
          <t>Propagated selected-row lineage</t>
        </is>
      </c>
      <c r="O92" s="8" t="inlineStr">
        <is>
          <t>Lineage may be nullable on historical rows</t>
        </is>
      </c>
      <c r="P92" s="8" t="inlineStr">
        <is>
          <t>No physical PK/partition/clustering</t>
        </is>
      </c>
      <c r="Q92" s="8" t="inlineStr">
        <is>
          <t>Conditional MERGE on symbol + price_date</t>
        </is>
      </c>
      <c r="R92" s="8" t="inlineStr">
        <is>
          <t>database/tables/silver/market_prices.sql</t>
        </is>
      </c>
    </row>
    <row r="93" ht="34" customHeight="1">
      <c r="A93" s="9" t="inlineStr">
        <is>
          <t>cibc</t>
        </is>
      </c>
      <c r="B93" s="9" t="inlineStr">
        <is>
          <t>silver</t>
        </is>
      </c>
      <c r="C93" s="9" t="inlineStr">
        <is>
          <t>market_prices</t>
        </is>
      </c>
      <c r="D93" s="9" t="inlineStr">
        <is>
          <t>Validated daily closing prices</t>
        </is>
      </c>
      <c r="E93" s="9" t="inlineStr">
        <is>
          <t>One symbol and price date</t>
        </is>
      </c>
      <c r="F93" s="9" t="inlineStr">
        <is>
          <t>symbol + price_date; positive close CHECK</t>
        </is>
      </c>
      <c r="G93" s="9" t="inlineStr">
        <is>
          <t>bronze_ingestion_timestamp</t>
        </is>
      </c>
      <c r="H93" s="9" t="inlineStr">
        <is>
          <t>TIMESTAMP</t>
        </is>
      </c>
      <c r="I93" s="9" t="inlineStr">
        <is>
          <t>N/A</t>
        </is>
      </c>
      <c r="J93" s="9" t="inlineStr">
        <is>
          <t>Yes</t>
        </is>
      </c>
      <c r="K93" s="9" t="inlineStr">
        <is>
          <t>None declared</t>
        </is>
      </c>
      <c r="L93" s="9" t="inlineStr">
        <is>
          <t>Bronze ingestion timestamp</t>
        </is>
      </c>
      <c r="M93" s="9" t="inlineStr">
        <is>
          <t>Bronze.ingestion_timestamp</t>
        </is>
      </c>
      <c r="N93" s="9" t="inlineStr">
        <is>
          <t>Propagated selected-row lineage</t>
        </is>
      </c>
      <c r="O93" s="9" t="inlineStr">
        <is>
          <t>Lineage may be nullable on historical rows</t>
        </is>
      </c>
      <c r="P93" s="9" t="inlineStr">
        <is>
          <t>No physical PK/partition/clustering</t>
        </is>
      </c>
      <c r="Q93" s="9" t="inlineStr">
        <is>
          <t>Conditional MERGE on symbol + price_date</t>
        </is>
      </c>
      <c r="R93" s="9" t="inlineStr">
        <is>
          <t>database/tables/silver/market_prices.sql</t>
        </is>
      </c>
    </row>
    <row r="94" ht="34" customHeight="1">
      <c r="A94" s="8" t="inlineStr">
        <is>
          <t>cibc</t>
        </is>
      </c>
      <c r="B94" s="8" t="inlineStr">
        <is>
          <t>silver</t>
        </is>
      </c>
      <c r="C94" s="8" t="inlineStr">
        <is>
          <t>market_prices_rejects</t>
        </is>
      </c>
      <c r="D94" s="8" t="inlineStr">
        <is>
          <t>Price data-quality rejects</t>
        </is>
      </c>
      <c r="E94" s="8" t="inlineStr">
        <is>
          <t>One rejected price record/reason history row</t>
        </is>
      </c>
      <c r="F94" s="8" t="inlineStr">
        <is>
          <t>Logical symbol/date/payload + reason</t>
        </is>
      </c>
      <c r="G94" s="8" t="inlineStr">
        <is>
          <t>id</t>
        </is>
      </c>
      <c r="H94" s="8" t="inlineStr">
        <is>
          <t>BIGINT GENERATED ALWAYS AS IDENTITY</t>
        </is>
      </c>
      <c r="I94" s="8" t="inlineStr">
        <is>
          <t>N/A</t>
        </is>
      </c>
      <c r="J94" s="8" t="inlineStr">
        <is>
          <t>Generated</t>
        </is>
      </c>
      <c r="K94" s="8" t="inlineStr">
        <is>
          <t>None declared</t>
        </is>
      </c>
      <c r="L94" s="8" t="inlineStr">
        <is>
          <t>Delta identity surrogate</t>
        </is>
      </c>
      <c r="M94" s="8" t="inlineStr">
        <is>
          <t>Delta table engine</t>
        </is>
      </c>
      <c r="N94" s="8" t="inlineStr">
        <is>
          <t>GENERATED ALWAYS AS IDENTITY</t>
        </is>
      </c>
      <c r="O94" s="8" t="inlineStr">
        <is>
          <t>Not a business key; omitted from MERGE source</t>
        </is>
      </c>
      <c r="P94" s="8" t="inlineStr">
        <is>
          <t>No physical PK/partition/clustering</t>
        </is>
      </c>
      <c r="Q94" s="8" t="inlineStr">
        <is>
          <t>Insert-once MERGE reject history</t>
        </is>
      </c>
      <c r="R94" s="8" t="inlineStr">
        <is>
          <t>database/tables/silver/market_prices_rejects.sql</t>
        </is>
      </c>
    </row>
    <row r="95" ht="34" customHeight="1">
      <c r="A95" s="9" t="inlineStr">
        <is>
          <t>cibc</t>
        </is>
      </c>
      <c r="B95" s="9" t="inlineStr">
        <is>
          <t>silver</t>
        </is>
      </c>
      <c r="C95" s="9" t="inlineStr">
        <is>
          <t>market_prices_rejects</t>
        </is>
      </c>
      <c r="D95" s="9" t="inlineStr">
        <is>
          <t>Price data-quality rejects</t>
        </is>
      </c>
      <c r="E95" s="9" t="inlineStr">
        <is>
          <t>One rejected price record/reason history row</t>
        </is>
      </c>
      <c r="F95" s="9" t="inlineStr">
        <is>
          <t>Logical symbol/date/payload + reason</t>
        </is>
      </c>
      <c r="G95" s="9" t="inlineStr">
        <is>
          <t>symbol</t>
        </is>
      </c>
      <c r="H95" s="9" t="inlineStr">
        <is>
          <t>STRING</t>
        </is>
      </c>
      <c r="I95" s="9" t="inlineStr">
        <is>
          <t>N/A</t>
        </is>
      </c>
      <c r="J95" s="9" t="inlineStr">
        <is>
          <t>Yes</t>
        </is>
      </c>
      <c r="K95" s="9" t="inlineStr">
        <is>
          <t>None declared</t>
        </is>
      </c>
      <c r="L95" s="9" t="inlineStr">
        <is>
          <t>Market ticker symbol</t>
        </is>
      </c>
      <c r="M95" s="9" t="inlineStr">
        <is>
          <t>CSV.symbol or configured instrument mapping</t>
        </is>
      </c>
      <c r="N95" s="9" t="inlineStr">
        <is>
          <t>Normalized/validated against instrument map</t>
        </is>
      </c>
      <c r="O95" s="9" t="inlineStr">
        <is>
          <t>Required; mapped and consistent</t>
        </is>
      </c>
      <c r="P95" s="9" t="inlineStr">
        <is>
          <t>No physical PK/partition/clustering</t>
        </is>
      </c>
      <c r="Q95" s="9" t="inlineStr">
        <is>
          <t>Insert-once MERGE reject history</t>
        </is>
      </c>
      <c r="R95" s="9" t="inlineStr">
        <is>
          <t>database/tables/silver/market_prices_rejects.sql</t>
        </is>
      </c>
    </row>
    <row r="96" ht="34" customHeight="1">
      <c r="A96" s="8" t="inlineStr">
        <is>
          <t>cibc</t>
        </is>
      </c>
      <c r="B96" s="8" t="inlineStr">
        <is>
          <t>silver</t>
        </is>
      </c>
      <c r="C96" s="8" t="inlineStr">
        <is>
          <t>market_prices_rejects</t>
        </is>
      </c>
      <c r="D96" s="8" t="inlineStr">
        <is>
          <t>Price data-quality rejects</t>
        </is>
      </c>
      <c r="E96" s="8" t="inlineStr">
        <is>
          <t>One rejected price record/reason history row</t>
        </is>
      </c>
      <c r="F96" s="8" t="inlineStr">
        <is>
          <t>Logical symbol/date/payload + reason</t>
        </is>
      </c>
      <c r="G96" s="8" t="inlineStr">
        <is>
          <t>price_date</t>
        </is>
      </c>
      <c r="H96" s="8" t="inlineStr">
        <is>
          <t>STRING</t>
        </is>
      </c>
      <c r="I96" s="8" t="inlineStr">
        <is>
          <t>N/A</t>
        </is>
      </c>
      <c r="J96" s="8" t="inlineStr">
        <is>
          <t>Yes</t>
        </is>
      </c>
      <c r="K96" s="8" t="inlineStr">
        <is>
          <t>None declared</t>
        </is>
      </c>
      <c r="L96" s="8" t="inlineStr">
        <is>
          <t>Market price effective date</t>
        </is>
      </c>
      <c r="M96" s="8" t="inlineStr">
        <is>
          <t>Provider date</t>
        </is>
      </c>
      <c r="N96" s="8" t="inlineStr">
        <is>
          <t>try_cast to DATE</t>
        </is>
      </c>
      <c r="O96" s="8" t="inlineStr">
        <is>
          <t>Expected supported session; not future</t>
        </is>
      </c>
      <c r="P96" s="8" t="inlineStr">
        <is>
          <t>No physical PK/partition/clustering</t>
        </is>
      </c>
      <c r="Q96" s="8" t="inlineStr">
        <is>
          <t>Insert-once MERGE reject history</t>
        </is>
      </c>
      <c r="R96" s="8" t="inlineStr">
        <is>
          <t>database/tables/silver/market_prices_rejects.sql</t>
        </is>
      </c>
    </row>
    <row r="97" ht="34" customHeight="1">
      <c r="A97" s="9" t="inlineStr">
        <is>
          <t>cibc</t>
        </is>
      </c>
      <c r="B97" s="9" t="inlineStr">
        <is>
          <t>silver</t>
        </is>
      </c>
      <c r="C97" s="9" t="inlineStr">
        <is>
          <t>market_prices_rejects</t>
        </is>
      </c>
      <c r="D97" s="9" t="inlineStr">
        <is>
          <t>Price data-quality rejects</t>
        </is>
      </c>
      <c r="E97" s="9" t="inlineStr">
        <is>
          <t>One rejected price record/reason history row</t>
        </is>
      </c>
      <c r="F97" s="9" t="inlineStr">
        <is>
          <t>Logical symbol/date/payload + reason</t>
        </is>
      </c>
      <c r="G97" s="9" t="inlineStr">
        <is>
          <t>close</t>
        </is>
      </c>
      <c r="H97" s="9" t="inlineStr">
        <is>
          <t>STRING</t>
        </is>
      </c>
      <c r="I97" s="9" t="inlineStr">
        <is>
          <t>N/A</t>
        </is>
      </c>
      <c r="J97" s="9" t="inlineStr">
        <is>
          <t>Yes</t>
        </is>
      </c>
      <c r="K97" s="9" t="inlineStr">
        <is>
          <t>None declared</t>
        </is>
      </c>
      <c r="L97" s="9" t="inlineStr">
        <is>
          <t>Unadjusted daily closing price</t>
        </is>
      </c>
      <c r="M97" s="9" t="inlineStr">
        <is>
          <t>Provider Close</t>
        </is>
      </c>
      <c r="N97" s="9" t="inlineStr">
        <is>
          <t>try_cast to DECIMAL(18,6)</t>
        </is>
      </c>
      <c r="O97" s="9" t="inlineStr">
        <is>
          <t>Required, finite, positive; currency USD</t>
        </is>
      </c>
      <c r="P97" s="9" t="inlineStr">
        <is>
          <t>No physical PK/partition/clustering</t>
        </is>
      </c>
      <c r="Q97" s="9" t="inlineStr">
        <is>
          <t>Insert-once MERGE reject history</t>
        </is>
      </c>
      <c r="R97" s="9" t="inlineStr">
        <is>
          <t>database/tables/silver/market_prices_rejects.sql</t>
        </is>
      </c>
    </row>
    <row r="98" ht="34" customHeight="1">
      <c r="A98" s="8" t="inlineStr">
        <is>
          <t>cibc</t>
        </is>
      </c>
      <c r="B98" s="8" t="inlineStr">
        <is>
          <t>silver</t>
        </is>
      </c>
      <c r="C98" s="8" t="inlineStr">
        <is>
          <t>market_prices_rejects</t>
        </is>
      </c>
      <c r="D98" s="8" t="inlineStr">
        <is>
          <t>Price data-quality rejects</t>
        </is>
      </c>
      <c r="E98" s="8" t="inlineStr">
        <is>
          <t>One rejected price record/reason history row</t>
        </is>
      </c>
      <c r="F98" s="8" t="inlineStr">
        <is>
          <t>Logical symbol/date/payload + reason</t>
        </is>
      </c>
      <c r="G98" s="8" t="inlineStr">
        <is>
          <t>currency</t>
        </is>
      </c>
      <c r="H98" s="8" t="inlineStr">
        <is>
          <t>STRING</t>
        </is>
      </c>
      <c r="I98" s="8" t="inlineStr">
        <is>
          <t>N/A</t>
        </is>
      </c>
      <c r="J98" s="8" t="inlineStr">
        <is>
          <t>Yes</t>
        </is>
      </c>
      <c r="K98" s="8" t="inlineStr">
        <is>
          <t>None declared</t>
        </is>
      </c>
      <c r="L98" s="8" t="inlineStr">
        <is>
          <t>Financial reporting currency</t>
        </is>
      </c>
      <c r="M98" s="8" t="inlineStr">
        <is>
          <t>Trade/price source</t>
        </is>
      </c>
      <c r="N98" s="8" t="inlineStr">
        <is>
          <t>USD-only prototype</t>
        </is>
      </c>
      <c r="O98" s="8" t="inlineStr">
        <is>
          <t>Required on core accepted/Gold data</t>
        </is>
      </c>
      <c r="P98" s="8" t="inlineStr">
        <is>
          <t>No physical PK/partition/clustering</t>
        </is>
      </c>
      <c r="Q98" s="8" t="inlineStr">
        <is>
          <t>Insert-once MERGE reject history</t>
        </is>
      </c>
      <c r="R98" s="8" t="inlineStr">
        <is>
          <t>database/tables/silver/market_prices_rejects.sql</t>
        </is>
      </c>
    </row>
    <row r="99" ht="34" customHeight="1">
      <c r="A99" s="9" t="inlineStr">
        <is>
          <t>cibc</t>
        </is>
      </c>
      <c r="B99" s="9" t="inlineStr">
        <is>
          <t>silver</t>
        </is>
      </c>
      <c r="C99" s="9" t="inlineStr">
        <is>
          <t>market_prices_rejects</t>
        </is>
      </c>
      <c r="D99" s="9" t="inlineStr">
        <is>
          <t>Price data-quality rejects</t>
        </is>
      </c>
      <c r="E99" s="9" t="inlineStr">
        <is>
          <t>One rejected price record/reason history row</t>
        </is>
      </c>
      <c r="F99" s="9" t="inlineStr">
        <is>
          <t>Logical symbol/date/payload + reason</t>
        </is>
      </c>
      <c r="G99" s="9" t="inlineStr">
        <is>
          <t>source_api</t>
        </is>
      </c>
      <c r="H99" s="9" t="inlineStr">
        <is>
          <t>STRING</t>
        </is>
      </c>
      <c r="I99" s="9" t="inlineStr">
        <is>
          <t>N/A</t>
        </is>
      </c>
      <c r="J99" s="9" t="inlineStr">
        <is>
          <t>Yes</t>
        </is>
      </c>
      <c r="K99" s="9" t="inlineStr">
        <is>
          <t>None declared</t>
        </is>
      </c>
      <c r="L99" s="9" t="inlineStr">
        <is>
          <t>Price provider identifier</t>
        </is>
      </c>
      <c r="M99" s="9" t="inlineStr">
        <is>
          <t>yfinance.download</t>
        </is>
      </c>
      <c r="N99" s="9" t="inlineStr">
        <is>
          <t>Added by price adapter</t>
        </is>
      </c>
      <c r="O99" s="9" t="inlineStr">
        <is>
          <t>Provider identity recorded; approved source TBD</t>
        </is>
      </c>
      <c r="P99" s="9" t="inlineStr">
        <is>
          <t>No physical PK/partition/clustering</t>
        </is>
      </c>
      <c r="Q99" s="9" t="inlineStr">
        <is>
          <t>Insert-once MERGE reject history</t>
        </is>
      </c>
      <c r="R99" s="9" t="inlineStr">
        <is>
          <t>database/tables/silver/market_prices_rejects.sql</t>
        </is>
      </c>
    </row>
    <row r="100" ht="34" customHeight="1">
      <c r="A100" s="8" t="inlineStr">
        <is>
          <t>cibc</t>
        </is>
      </c>
      <c r="B100" s="8" t="inlineStr">
        <is>
          <t>silver</t>
        </is>
      </c>
      <c r="C100" s="8" t="inlineStr">
        <is>
          <t>market_prices_rejects</t>
        </is>
      </c>
      <c r="D100" s="8" t="inlineStr">
        <is>
          <t>Price data-quality rejects</t>
        </is>
      </c>
      <c r="E100" s="8" t="inlineStr">
        <is>
          <t>One rejected price record/reason history row</t>
        </is>
      </c>
      <c r="F100" s="8" t="inlineStr">
        <is>
          <t>Logical symbol/date/payload + reason</t>
        </is>
      </c>
      <c r="G100" s="8" t="inlineStr">
        <is>
          <t>ingestion_timestamp</t>
        </is>
      </c>
      <c r="H100" s="8" t="inlineStr">
        <is>
          <t>TIMESTAMP</t>
        </is>
      </c>
      <c r="I100" s="8" t="inlineStr">
        <is>
          <t>N/A</t>
        </is>
      </c>
      <c r="J100" s="8" t="inlineStr">
        <is>
          <t>Yes</t>
        </is>
      </c>
      <c r="K100" s="8" t="inlineStr">
        <is>
          <t>None declared</t>
        </is>
      </c>
      <c r="L100" s="8" t="inlineStr">
        <is>
          <t>Ingestion event timestamp</t>
        </is>
      </c>
      <c r="M100" s="8" t="inlineStr">
        <is>
          <t>Pipeline runtime</t>
        </is>
      </c>
      <c r="N100" s="8" t="inlineStr">
        <is>
          <t>current_timestamp or provider batch timestamp</t>
        </is>
      </c>
      <c r="O100" s="8" t="inlineStr">
        <is>
          <t>Audit lineage</t>
        </is>
      </c>
      <c r="P100" s="8" t="inlineStr">
        <is>
          <t>No physical PK/partition/clustering</t>
        </is>
      </c>
      <c r="Q100" s="8" t="inlineStr">
        <is>
          <t>Insert-once MERGE reject history</t>
        </is>
      </c>
      <c r="R100" s="8" t="inlineStr">
        <is>
          <t>database/tables/silver/market_prices_rejects.sql</t>
        </is>
      </c>
    </row>
    <row r="101" ht="34" customHeight="1">
      <c r="A101" s="9" t="inlineStr">
        <is>
          <t>cibc</t>
        </is>
      </c>
      <c r="B101" s="9" t="inlineStr">
        <is>
          <t>silver</t>
        </is>
      </c>
      <c r="C101" s="9" t="inlineStr">
        <is>
          <t>market_prices_rejects</t>
        </is>
      </c>
      <c r="D101" s="9" t="inlineStr">
        <is>
          <t>Price data-quality rejects</t>
        </is>
      </c>
      <c r="E101" s="9" t="inlineStr">
        <is>
          <t>One rejected price record/reason history row</t>
        </is>
      </c>
      <c r="F101" s="9" t="inlineStr">
        <is>
          <t>Logical symbol/date/payload + reason</t>
        </is>
      </c>
      <c r="G101" s="9" t="inlineStr">
        <is>
          <t>run_id</t>
        </is>
      </c>
      <c r="H101" s="9" t="inlineStr">
        <is>
          <t>STRING</t>
        </is>
      </c>
      <c r="I101" s="9" t="inlineStr">
        <is>
          <t>N/A</t>
        </is>
      </c>
      <c r="J101" s="9" t="inlineStr">
        <is>
          <t>Yes</t>
        </is>
      </c>
      <c r="K101" s="9" t="inlineStr">
        <is>
          <t>None declared</t>
        </is>
      </c>
      <c r="L101" s="9" t="inlineStr">
        <is>
          <t>Pipeline run identifier</t>
        </is>
      </c>
      <c r="M101" s="9" t="inlineStr">
        <is>
          <t>Databricks Job run id</t>
        </is>
      </c>
      <c r="N101" s="9" t="inlineStr">
        <is>
          <t>Passed to task and persisted</t>
        </is>
      </c>
      <c r="O101" s="9" t="inlineStr">
        <is>
          <t>Required for lineage where source available</t>
        </is>
      </c>
      <c r="P101" s="9" t="inlineStr">
        <is>
          <t>No physical PK/partition/clustering</t>
        </is>
      </c>
      <c r="Q101" s="9" t="inlineStr">
        <is>
          <t>Insert-once MERGE reject history</t>
        </is>
      </c>
      <c r="R101" s="9" t="inlineStr">
        <is>
          <t>database/tables/silver/market_prices_rejects.sql</t>
        </is>
      </c>
    </row>
    <row r="102" ht="34" customHeight="1">
      <c r="A102" s="8" t="inlineStr">
        <is>
          <t>cibc</t>
        </is>
      </c>
      <c r="B102" s="8" t="inlineStr">
        <is>
          <t>silver</t>
        </is>
      </c>
      <c r="C102" s="8" t="inlineStr">
        <is>
          <t>market_prices_rejects</t>
        </is>
      </c>
      <c r="D102" s="8" t="inlineStr">
        <is>
          <t>Price data-quality rejects</t>
        </is>
      </c>
      <c r="E102" s="8" t="inlineStr">
        <is>
          <t>One rejected price record/reason history row</t>
        </is>
      </c>
      <c r="F102" s="8" t="inlineStr">
        <is>
          <t>Logical symbol/date/payload + reason</t>
        </is>
      </c>
      <c r="G102" s="8" t="inlineStr">
        <is>
          <t>rejection_reason</t>
        </is>
      </c>
      <c r="H102" s="8" t="inlineStr">
        <is>
          <t>STRING</t>
        </is>
      </c>
      <c r="I102" s="8" t="inlineStr">
        <is>
          <t>N/A</t>
        </is>
      </c>
      <c r="J102" s="8" t="inlineStr">
        <is>
          <t>Yes</t>
        </is>
      </c>
      <c r="K102" s="8" t="inlineStr">
        <is>
          <t>None declared</t>
        </is>
      </c>
      <c r="L102" s="8" t="inlineStr">
        <is>
          <t>One or more validation/reconciliation reason codes</t>
        </is>
      </c>
      <c r="M102" s="8" t="inlineStr">
        <is>
          <t>Silver validation</t>
        </is>
      </c>
      <c r="N102" s="8" t="inlineStr">
        <is>
          <t>Pipe-separated rule names</t>
        </is>
      </c>
      <c r="O102" s="8" t="inlineStr">
        <is>
          <t>Required for reject record</t>
        </is>
      </c>
      <c r="P102" s="8" t="inlineStr">
        <is>
          <t>No physical PK/partition/clustering</t>
        </is>
      </c>
      <c r="Q102" s="8" t="inlineStr">
        <is>
          <t>Insert-once MERGE reject history</t>
        </is>
      </c>
      <c r="R102" s="8" t="inlineStr">
        <is>
          <t>database/tables/silver/market_prices_rejects.sql</t>
        </is>
      </c>
    </row>
    <row r="103" ht="34" customHeight="1">
      <c r="A103" s="9" t="inlineStr">
        <is>
          <t>cibc</t>
        </is>
      </c>
      <c r="B103" s="9" t="inlineStr">
        <is>
          <t>silver</t>
        </is>
      </c>
      <c r="C103" s="9" t="inlineStr">
        <is>
          <t>market_prices_rejects</t>
        </is>
      </c>
      <c r="D103" s="9" t="inlineStr">
        <is>
          <t>Price data-quality rejects</t>
        </is>
      </c>
      <c r="E103" s="9" t="inlineStr">
        <is>
          <t>One rejected price record/reason history row</t>
        </is>
      </c>
      <c r="F103" s="9" t="inlineStr">
        <is>
          <t>Logical symbol/date/payload + reason</t>
        </is>
      </c>
      <c r="G103" s="9" t="inlineStr">
        <is>
          <t>rejected_at</t>
        </is>
      </c>
      <c r="H103" s="9" t="inlineStr">
        <is>
          <t>TIMESTAMP</t>
        </is>
      </c>
      <c r="I103" s="9" t="inlineStr">
        <is>
          <t>N/A</t>
        </is>
      </c>
      <c r="J103" s="9" t="inlineStr">
        <is>
          <t>Yes</t>
        </is>
      </c>
      <c r="K103" s="9" t="inlineStr">
        <is>
          <t>None declared</t>
        </is>
      </c>
      <c r="L103" s="9" t="inlineStr">
        <is>
          <t>Reject capture timestamp</t>
        </is>
      </c>
      <c r="M103" s="9" t="inlineStr">
        <is>
          <t>Silver processor runtime</t>
        </is>
      </c>
      <c r="N103" s="9" t="inlineStr">
        <is>
          <t>current_timestamp</t>
        </is>
      </c>
      <c r="O103" s="9" t="inlineStr">
        <is>
          <t>Required for reject record</t>
        </is>
      </c>
      <c r="P103" s="9" t="inlineStr">
        <is>
          <t>No physical PK/partition/clustering</t>
        </is>
      </c>
      <c r="Q103" s="9" t="inlineStr">
        <is>
          <t>Insert-once MERGE reject history</t>
        </is>
      </c>
      <c r="R103" s="9" t="inlineStr">
        <is>
          <t>database/tables/silver/market_prices_rejects.sql</t>
        </is>
      </c>
    </row>
    <row r="104" ht="34" customHeight="1">
      <c r="A104" s="8" t="inlineStr">
        <is>
          <t>cibc</t>
        </is>
      </c>
      <c r="B104" s="8" t="inlineStr">
        <is>
          <t>silver</t>
        </is>
      </c>
      <c r="C104" s="8" t="inlineStr">
        <is>
          <t>trades</t>
        </is>
      </c>
      <c r="D104" s="8" t="inlineStr">
        <is>
          <t>Validated current trade versions</t>
        </is>
      </c>
      <c r="E104" s="8" t="inlineStr">
        <is>
          <t>One accepted row per trade_id</t>
        </is>
      </c>
      <c r="F104" s="8" t="inlineStr">
        <is>
          <t>trade_id</t>
        </is>
      </c>
      <c r="G104" s="8" t="inlineStr">
        <is>
          <t>id</t>
        </is>
      </c>
      <c r="H104" s="8" t="inlineStr">
        <is>
          <t>BIGINT GENERATED ALWAYS AS IDENTITY</t>
        </is>
      </c>
      <c r="I104" s="8" t="inlineStr">
        <is>
          <t>N/A</t>
        </is>
      </c>
      <c r="J104" s="8" t="inlineStr">
        <is>
          <t>Generated</t>
        </is>
      </c>
      <c r="K104" s="8" t="inlineStr">
        <is>
          <t>None declared</t>
        </is>
      </c>
      <c r="L104" s="8" t="inlineStr">
        <is>
          <t>Delta identity surrogate</t>
        </is>
      </c>
      <c r="M104" s="8" t="inlineStr">
        <is>
          <t>Delta table engine</t>
        </is>
      </c>
      <c r="N104" s="8" t="inlineStr">
        <is>
          <t>GENERATED ALWAYS AS IDENTITY</t>
        </is>
      </c>
      <c r="O104" s="8" t="inlineStr">
        <is>
          <t>Not a business key; omitted from MERGE source</t>
        </is>
      </c>
      <c r="P104" s="8" t="inlineStr">
        <is>
          <t>No physical PK/partition/clustering</t>
        </is>
      </c>
      <c r="Q104" s="8" t="inlineStr">
        <is>
          <t>Conditional MERGE; unusable present IDs removed</t>
        </is>
      </c>
      <c r="R104" s="8" t="inlineStr">
        <is>
          <t>database/tables/silver/trades.sql</t>
        </is>
      </c>
    </row>
    <row r="105" ht="34" customHeight="1">
      <c r="A105" s="9" t="inlineStr">
        <is>
          <t>cibc</t>
        </is>
      </c>
      <c r="B105" s="9" t="inlineStr">
        <is>
          <t>silver</t>
        </is>
      </c>
      <c r="C105" s="9" t="inlineStr">
        <is>
          <t>trades</t>
        </is>
      </c>
      <c r="D105" s="9" t="inlineStr">
        <is>
          <t>Validated current trade versions</t>
        </is>
      </c>
      <c r="E105" s="9" t="inlineStr">
        <is>
          <t>One accepted row per trade_id</t>
        </is>
      </c>
      <c r="F105" s="9" t="inlineStr">
        <is>
          <t>trade_id</t>
        </is>
      </c>
      <c r="G105" s="9" t="inlineStr">
        <is>
          <t>trade_id</t>
        </is>
      </c>
      <c r="H105" s="9" t="inlineStr">
        <is>
          <t>STRING</t>
        </is>
      </c>
      <c r="I105" s="9" t="inlineStr">
        <is>
          <t>N/A</t>
        </is>
      </c>
      <c r="J105" s="9" t="inlineStr">
        <is>
          <t>No</t>
        </is>
      </c>
      <c r="K105" s="9" t="inlineStr">
        <is>
          <t>None declared</t>
        </is>
      </c>
      <c r="L105" s="9" t="inlineStr">
        <is>
          <t>Trade identifier on valuation break</t>
        </is>
      </c>
      <c r="M105" s="9" t="inlineStr">
        <is>
          <t>Silver trade</t>
        </is>
      </c>
      <c r="N105" s="9" t="inlineStr">
        <is>
          <t>Nullable for instrument/date-level break</t>
        </is>
      </c>
      <c r="O105" s="9" t="inlineStr">
        <is>
          <t>Nullable</t>
        </is>
      </c>
      <c r="P105" s="9" t="inlineStr">
        <is>
          <t>No physical PK/partition/clustering</t>
        </is>
      </c>
      <c r="Q105" s="9" t="inlineStr">
        <is>
          <t>Conditional MERGE; unusable present IDs removed</t>
        </is>
      </c>
      <c r="R105" s="9" t="inlineStr">
        <is>
          <t>database/tables/silver/trades.sql</t>
        </is>
      </c>
    </row>
    <row r="106" ht="34" customHeight="1">
      <c r="A106" s="8" t="inlineStr">
        <is>
          <t>cibc</t>
        </is>
      </c>
      <c r="B106" s="8" t="inlineStr">
        <is>
          <t>silver</t>
        </is>
      </c>
      <c r="C106" s="8" t="inlineStr">
        <is>
          <t>trades</t>
        </is>
      </c>
      <c r="D106" s="8" t="inlineStr">
        <is>
          <t>Validated current trade versions</t>
        </is>
      </c>
      <c r="E106" s="8" t="inlineStr">
        <is>
          <t>One accepted row per trade_id</t>
        </is>
      </c>
      <c r="F106" s="8" t="inlineStr">
        <is>
          <t>trade_id</t>
        </is>
      </c>
      <c r="G106" s="8" t="inlineStr">
        <is>
          <t>counterparty_id</t>
        </is>
      </c>
      <c r="H106" s="8" t="inlineStr">
        <is>
          <t>STRING</t>
        </is>
      </c>
      <c r="I106" s="8" t="inlineStr">
        <is>
          <t>N/A</t>
        </is>
      </c>
      <c r="J106" s="8" t="inlineStr">
        <is>
          <t>No</t>
        </is>
      </c>
      <c r="K106" s="8" t="inlineStr">
        <is>
          <t>None declared</t>
        </is>
      </c>
      <c r="L106" s="8" t="inlineStr">
        <is>
          <t>Counterparty identifier</t>
        </is>
      </c>
      <c r="M106" s="8" t="inlineStr">
        <is>
          <t>CSV.counterparty_id</t>
        </is>
      </c>
      <c r="N106" s="8" t="inlineStr">
        <is>
          <t>Preserved as STRING</t>
        </is>
      </c>
      <c r="O106" s="8" t="inlineStr">
        <is>
          <t>Required/nonblank for accepted trade</t>
        </is>
      </c>
      <c r="P106" s="8" t="inlineStr">
        <is>
          <t>No physical PK/partition/clustering</t>
        </is>
      </c>
      <c r="Q106" s="8" t="inlineStr">
        <is>
          <t>Conditional MERGE; unusable present IDs removed</t>
        </is>
      </c>
      <c r="R106" s="8" t="inlineStr">
        <is>
          <t>database/tables/silver/trades.sql</t>
        </is>
      </c>
    </row>
    <row r="107" ht="34" customHeight="1">
      <c r="A107" s="9" t="inlineStr">
        <is>
          <t>cibc</t>
        </is>
      </c>
      <c r="B107" s="9" t="inlineStr">
        <is>
          <t>silver</t>
        </is>
      </c>
      <c r="C107" s="9" t="inlineStr">
        <is>
          <t>trades</t>
        </is>
      </c>
      <c r="D107" s="9" t="inlineStr">
        <is>
          <t>Validated current trade versions</t>
        </is>
      </c>
      <c r="E107" s="9" t="inlineStr">
        <is>
          <t>One accepted row per trade_id</t>
        </is>
      </c>
      <c r="F107" s="9" t="inlineStr">
        <is>
          <t>trade_id</t>
        </is>
      </c>
      <c r="G107" s="9" t="inlineStr">
        <is>
          <t>instrument_id</t>
        </is>
      </c>
      <c r="H107" s="9" t="inlineStr">
        <is>
          <t>STRING</t>
        </is>
      </c>
      <c r="I107" s="9" t="inlineStr">
        <is>
          <t>N/A</t>
        </is>
      </c>
      <c r="J107" s="9" t="inlineStr">
        <is>
          <t>No</t>
        </is>
      </c>
      <c r="K107" s="9" t="inlineStr">
        <is>
          <t>None declared</t>
        </is>
      </c>
      <c r="L107" s="9" t="inlineStr">
        <is>
          <t>Instrument identifier on position/break</t>
        </is>
      </c>
      <c r="M107" s="9" t="inlineStr">
        <is>
          <t>Configured mapping or Silver trade</t>
        </is>
      </c>
      <c r="N107" s="9" t="inlineStr">
        <is>
          <t>STRING</t>
        </is>
      </c>
      <c r="O107" s="9" t="inlineStr">
        <is>
          <t>Required on accepted trade; nullable in break DDL</t>
        </is>
      </c>
      <c r="P107" s="9" t="inlineStr">
        <is>
          <t>No physical PK/partition/clustering</t>
        </is>
      </c>
      <c r="Q107" s="9" t="inlineStr">
        <is>
          <t>Conditional MERGE; unusable present IDs removed</t>
        </is>
      </c>
      <c r="R107" s="9" t="inlineStr">
        <is>
          <t>database/tables/silver/trades.sql</t>
        </is>
      </c>
    </row>
    <row r="108" ht="34" customHeight="1">
      <c r="A108" s="8" t="inlineStr">
        <is>
          <t>cibc</t>
        </is>
      </c>
      <c r="B108" s="8" t="inlineStr">
        <is>
          <t>silver</t>
        </is>
      </c>
      <c r="C108" s="8" t="inlineStr">
        <is>
          <t>trades</t>
        </is>
      </c>
      <c r="D108" s="8" t="inlineStr">
        <is>
          <t>Validated current trade versions</t>
        </is>
      </c>
      <c r="E108" s="8" t="inlineStr">
        <is>
          <t>One accepted row per trade_id</t>
        </is>
      </c>
      <c r="F108" s="8" t="inlineStr">
        <is>
          <t>trade_id</t>
        </is>
      </c>
      <c r="G108" s="8" t="inlineStr">
        <is>
          <t>symbol</t>
        </is>
      </c>
      <c r="H108" s="8" t="inlineStr">
        <is>
          <t>STRING</t>
        </is>
      </c>
      <c r="I108" s="8" t="inlineStr">
        <is>
          <t>N/A</t>
        </is>
      </c>
      <c r="J108" s="8" t="inlineStr">
        <is>
          <t>No</t>
        </is>
      </c>
      <c r="K108" s="8" t="inlineStr">
        <is>
          <t>None declared</t>
        </is>
      </c>
      <c r="L108" s="8" t="inlineStr">
        <is>
          <t>Market ticker symbol</t>
        </is>
      </c>
      <c r="M108" s="8" t="inlineStr">
        <is>
          <t>CSV.symbol or configured instrument mapping</t>
        </is>
      </c>
      <c r="N108" s="8" t="inlineStr">
        <is>
          <t>Normalized/validated against instrument map</t>
        </is>
      </c>
      <c r="O108" s="8" t="inlineStr">
        <is>
          <t>Required; mapped and consistent</t>
        </is>
      </c>
      <c r="P108" s="8" t="inlineStr">
        <is>
          <t>No physical PK/partition/clustering</t>
        </is>
      </c>
      <c r="Q108" s="8" t="inlineStr">
        <is>
          <t>Conditional MERGE; unusable present IDs removed</t>
        </is>
      </c>
      <c r="R108" s="8" t="inlineStr">
        <is>
          <t>database/tables/silver/trades.sql</t>
        </is>
      </c>
    </row>
    <row r="109" ht="34" customHeight="1">
      <c r="A109" s="9" t="inlineStr">
        <is>
          <t>cibc</t>
        </is>
      </c>
      <c r="B109" s="9" t="inlineStr">
        <is>
          <t>silver</t>
        </is>
      </c>
      <c r="C109" s="9" t="inlineStr">
        <is>
          <t>trades</t>
        </is>
      </c>
      <c r="D109" s="9" t="inlineStr">
        <is>
          <t>Validated current trade versions</t>
        </is>
      </c>
      <c r="E109" s="9" t="inlineStr">
        <is>
          <t>One accepted row per trade_id</t>
        </is>
      </c>
      <c r="F109" s="9" t="inlineStr">
        <is>
          <t>trade_id</t>
        </is>
      </c>
      <c r="G109" s="9" t="inlineStr">
        <is>
          <t>quantity</t>
        </is>
      </c>
      <c r="H109" s="9" t="inlineStr">
        <is>
          <t>DECIMAL(18,6)</t>
        </is>
      </c>
      <c r="I109" s="9" t="inlineStr">
        <is>
          <t>18,6</t>
        </is>
      </c>
      <c r="J109" s="9" t="inlineStr">
        <is>
          <t>No</t>
        </is>
      </c>
      <c r="K109" s="9" t="inlineStr">
        <is>
          <t>None declared</t>
        </is>
      </c>
      <c r="L109" s="9" t="inlineStr">
        <is>
          <t>Trade or position quantity</t>
        </is>
      </c>
      <c r="M109" s="9" t="inlineStr">
        <is>
          <t>CSV.quantity or Silver trades.quantity</t>
        </is>
      </c>
      <c r="N109" s="9" t="inlineStr">
        <is>
          <t>DECIMAL(18,6); SELL is negative in Silver; aggregates use DECIMAL(28,6)</t>
        </is>
      </c>
      <c r="O109" s="9" t="inlineStr">
        <is>
          <t>Nonzero; BUY positive; SELL negative after normalization</t>
        </is>
      </c>
      <c r="P109" s="9" t="inlineStr">
        <is>
          <t>No physical PK/partition/clustering</t>
        </is>
      </c>
      <c r="Q109" s="9" t="inlineStr">
        <is>
          <t>Conditional MERGE; unusable present IDs removed</t>
        </is>
      </c>
      <c r="R109" s="9" t="inlineStr">
        <is>
          <t>database/tables/silver/trades.sql</t>
        </is>
      </c>
    </row>
    <row r="110" ht="34" customHeight="1">
      <c r="A110" s="8" t="inlineStr">
        <is>
          <t>cibc</t>
        </is>
      </c>
      <c r="B110" s="8" t="inlineStr">
        <is>
          <t>silver</t>
        </is>
      </c>
      <c r="C110" s="8" t="inlineStr">
        <is>
          <t>trades</t>
        </is>
      </c>
      <c r="D110" s="8" t="inlineStr">
        <is>
          <t>Validated current trade versions</t>
        </is>
      </c>
      <c r="E110" s="8" t="inlineStr">
        <is>
          <t>One accepted row per trade_id</t>
        </is>
      </c>
      <c r="F110" s="8" t="inlineStr">
        <is>
          <t>trade_id</t>
        </is>
      </c>
      <c r="G110" s="8" t="inlineStr">
        <is>
          <t>price</t>
        </is>
      </c>
      <c r="H110" s="8" t="inlineStr">
        <is>
          <t>DECIMAL(18,6)</t>
        </is>
      </c>
      <c r="I110" s="8" t="inlineStr">
        <is>
          <t>18,6</t>
        </is>
      </c>
      <c r="J110" s="8" t="inlineStr">
        <is>
          <t>No</t>
        </is>
      </c>
      <c r="K110" s="8" t="inlineStr">
        <is>
          <t>None declared</t>
        </is>
      </c>
      <c r="L110" s="8" t="inlineStr">
        <is>
          <t>Trade execution price</t>
        </is>
      </c>
      <c r="M110" s="8" t="inlineStr">
        <is>
          <t>CSV.price</t>
        </is>
      </c>
      <c r="N110" s="8" t="inlineStr">
        <is>
          <t>try_cast to DECIMAL(18,6)</t>
        </is>
      </c>
      <c r="O110" s="8" t="inlineStr">
        <is>
          <t>Required and &gt; 0</t>
        </is>
      </c>
      <c r="P110" s="8" t="inlineStr">
        <is>
          <t>No physical PK/partition/clustering</t>
        </is>
      </c>
      <c r="Q110" s="8" t="inlineStr">
        <is>
          <t>Conditional MERGE; unusable present IDs removed</t>
        </is>
      </c>
      <c r="R110" s="8" t="inlineStr">
        <is>
          <t>database/tables/silver/trades.sql</t>
        </is>
      </c>
    </row>
    <row r="111" ht="34" customHeight="1">
      <c r="A111" s="9" t="inlineStr">
        <is>
          <t>cibc</t>
        </is>
      </c>
      <c r="B111" s="9" t="inlineStr">
        <is>
          <t>silver</t>
        </is>
      </c>
      <c r="C111" s="9" t="inlineStr">
        <is>
          <t>trades</t>
        </is>
      </c>
      <c r="D111" s="9" t="inlineStr">
        <is>
          <t>Validated current trade versions</t>
        </is>
      </c>
      <c r="E111" s="9" t="inlineStr">
        <is>
          <t>One accepted row per trade_id</t>
        </is>
      </c>
      <c r="F111" s="9" t="inlineStr">
        <is>
          <t>trade_id</t>
        </is>
      </c>
      <c r="G111" s="9" t="inlineStr">
        <is>
          <t>currency</t>
        </is>
      </c>
      <c r="H111" s="9" t="inlineStr">
        <is>
          <t>STRING</t>
        </is>
      </c>
      <c r="I111" s="9" t="inlineStr">
        <is>
          <t>N/A</t>
        </is>
      </c>
      <c r="J111" s="9" t="inlineStr">
        <is>
          <t>No</t>
        </is>
      </c>
      <c r="K111" s="9" t="inlineStr">
        <is>
          <t>None declared</t>
        </is>
      </c>
      <c r="L111" s="9" t="inlineStr">
        <is>
          <t>Financial reporting currency</t>
        </is>
      </c>
      <c r="M111" s="9" t="inlineStr">
        <is>
          <t>Trade/price source</t>
        </is>
      </c>
      <c r="N111" s="9" t="inlineStr">
        <is>
          <t>USD-only prototype</t>
        </is>
      </c>
      <c r="O111" s="9" t="inlineStr">
        <is>
          <t>Required on core accepted/Gold data</t>
        </is>
      </c>
      <c r="P111" s="9" t="inlineStr">
        <is>
          <t>No physical PK/partition/clustering</t>
        </is>
      </c>
      <c r="Q111" s="9" t="inlineStr">
        <is>
          <t>Conditional MERGE; unusable present IDs removed</t>
        </is>
      </c>
      <c r="R111" s="9" t="inlineStr">
        <is>
          <t>database/tables/silver/trades.sql</t>
        </is>
      </c>
    </row>
    <row r="112" ht="34" customHeight="1">
      <c r="A112" s="8" t="inlineStr">
        <is>
          <t>cibc</t>
        </is>
      </c>
      <c r="B112" s="8" t="inlineStr">
        <is>
          <t>silver</t>
        </is>
      </c>
      <c r="C112" s="8" t="inlineStr">
        <is>
          <t>trades</t>
        </is>
      </c>
      <c r="D112" s="8" t="inlineStr">
        <is>
          <t>Validated current trade versions</t>
        </is>
      </c>
      <c r="E112" s="8" t="inlineStr">
        <is>
          <t>One accepted row per trade_id</t>
        </is>
      </c>
      <c r="F112" s="8" t="inlineStr">
        <is>
          <t>trade_id</t>
        </is>
      </c>
      <c r="G112" s="8" t="inlineStr">
        <is>
          <t>trade_date</t>
        </is>
      </c>
      <c r="H112" s="8" t="inlineStr">
        <is>
          <t>DATE</t>
        </is>
      </c>
      <c r="I112" s="8" t="inlineStr">
        <is>
          <t>N/A</t>
        </is>
      </c>
      <c r="J112" s="8" t="inlineStr">
        <is>
          <t>No</t>
        </is>
      </c>
      <c r="K112" s="8" t="inlineStr">
        <is>
          <t>None declared</t>
        </is>
      </c>
      <c r="L112" s="8" t="inlineStr">
        <is>
          <t>Trade business date</t>
        </is>
      </c>
      <c r="M112" s="8" t="inlineStr">
        <is>
          <t>CSV.trade_date</t>
        </is>
      </c>
      <c r="N112" s="8" t="inlineStr">
        <is>
          <t>try_cast to DATE; drives daily position activity</t>
        </is>
      </c>
      <c r="O112" s="8" t="inlineStr">
        <is>
          <t>Required; supported session and not future</t>
        </is>
      </c>
      <c r="P112" s="8" t="inlineStr">
        <is>
          <t>No physical PK/partition/clustering</t>
        </is>
      </c>
      <c r="Q112" s="8" t="inlineStr">
        <is>
          <t>Conditional MERGE; unusable present IDs removed</t>
        </is>
      </c>
      <c r="R112" s="8" t="inlineStr">
        <is>
          <t>database/tables/silver/trades.sql</t>
        </is>
      </c>
    </row>
    <row r="113" ht="34" customHeight="1">
      <c r="A113" s="9" t="inlineStr">
        <is>
          <t>cibc</t>
        </is>
      </c>
      <c r="B113" s="9" t="inlineStr">
        <is>
          <t>silver</t>
        </is>
      </c>
      <c r="C113" s="9" t="inlineStr">
        <is>
          <t>trades</t>
        </is>
      </c>
      <c r="D113" s="9" t="inlineStr">
        <is>
          <t>Validated current trade versions</t>
        </is>
      </c>
      <c r="E113" s="9" t="inlineStr">
        <is>
          <t>One accepted row per trade_id</t>
        </is>
      </c>
      <c r="F113" s="9" t="inlineStr">
        <is>
          <t>trade_id</t>
        </is>
      </c>
      <c r="G113" s="9" t="inlineStr">
        <is>
          <t>settlement_date</t>
        </is>
      </c>
      <c r="H113" s="9" t="inlineStr">
        <is>
          <t>DATE</t>
        </is>
      </c>
      <c r="I113" s="9" t="inlineStr">
        <is>
          <t>N/A</t>
        </is>
      </c>
      <c r="J113" s="9" t="inlineStr">
        <is>
          <t>No</t>
        </is>
      </c>
      <c r="K113" s="9" t="inlineStr">
        <is>
          <t>None declared</t>
        </is>
      </c>
      <c r="L113" s="9" t="inlineStr">
        <is>
          <t>Settlement business date</t>
        </is>
      </c>
      <c r="M113" s="9" t="inlineStr">
        <is>
          <t>CSV.settlement_date</t>
        </is>
      </c>
      <c r="N113" s="9" t="inlineStr">
        <is>
          <t>try_cast to DATE</t>
        </is>
      </c>
      <c r="O113" s="9" t="inlineStr">
        <is>
          <t>Required; next supported business session in current rule</t>
        </is>
      </c>
      <c r="P113" s="9" t="inlineStr">
        <is>
          <t>No physical PK/partition/clustering</t>
        </is>
      </c>
      <c r="Q113" s="9" t="inlineStr">
        <is>
          <t>Conditional MERGE; unusable present IDs removed</t>
        </is>
      </c>
      <c r="R113" s="9" t="inlineStr">
        <is>
          <t>database/tables/silver/trades.sql</t>
        </is>
      </c>
    </row>
    <row r="114" ht="34" customHeight="1">
      <c r="A114" s="8" t="inlineStr">
        <is>
          <t>cibc</t>
        </is>
      </c>
      <c r="B114" s="8" t="inlineStr">
        <is>
          <t>silver</t>
        </is>
      </c>
      <c r="C114" s="8" t="inlineStr">
        <is>
          <t>trades</t>
        </is>
      </c>
      <c r="D114" s="8" t="inlineStr">
        <is>
          <t>Validated current trade versions</t>
        </is>
      </c>
      <c r="E114" s="8" t="inlineStr">
        <is>
          <t>One accepted row per trade_id</t>
        </is>
      </c>
      <c r="F114" s="8" t="inlineStr">
        <is>
          <t>trade_id</t>
        </is>
      </c>
      <c r="G114" s="8" t="inlineStr">
        <is>
          <t>book_id</t>
        </is>
      </c>
      <c r="H114" s="8" t="inlineStr">
        <is>
          <t>STRING</t>
        </is>
      </c>
      <c r="I114" s="8" t="inlineStr">
        <is>
          <t>N/A</t>
        </is>
      </c>
      <c r="J114" s="8" t="inlineStr">
        <is>
          <t>No</t>
        </is>
      </c>
      <c r="K114" s="8" t="inlineStr">
        <is>
          <t>None declared</t>
        </is>
      </c>
      <c r="L114" s="8" t="inlineStr">
        <is>
          <t>Trading book identifier</t>
        </is>
      </c>
      <c r="M114" s="8" t="inlineStr">
        <is>
          <t>CSV.book_id</t>
        </is>
      </c>
      <c r="N114" s="8" t="inlineStr">
        <is>
          <t>Passed as opaque STRING</t>
        </is>
      </c>
      <c r="O114" s="8" t="inlineStr">
        <is>
          <t>Required/nonblank; book reference not persisted</t>
        </is>
      </c>
      <c r="P114" s="8" t="inlineStr">
        <is>
          <t>No physical PK/partition/clustering</t>
        </is>
      </c>
      <c r="Q114" s="8" t="inlineStr">
        <is>
          <t>Conditional MERGE; unusable present IDs removed</t>
        </is>
      </c>
      <c r="R114" s="8" t="inlineStr">
        <is>
          <t>database/tables/silver/trades.sql</t>
        </is>
      </c>
    </row>
    <row r="115" ht="34" customHeight="1">
      <c r="A115" s="9" t="inlineStr">
        <is>
          <t>cibc</t>
        </is>
      </c>
      <c r="B115" s="9" t="inlineStr">
        <is>
          <t>silver</t>
        </is>
      </c>
      <c r="C115" s="9" t="inlineStr">
        <is>
          <t>trades</t>
        </is>
      </c>
      <c r="D115" s="9" t="inlineStr">
        <is>
          <t>Validated current trade versions</t>
        </is>
      </c>
      <c r="E115" s="9" t="inlineStr">
        <is>
          <t>One accepted row per trade_id</t>
        </is>
      </c>
      <c r="F115" s="9" t="inlineStr">
        <is>
          <t>trade_id</t>
        </is>
      </c>
      <c r="G115" s="9" t="inlineStr">
        <is>
          <t>version</t>
        </is>
      </c>
      <c r="H115" s="9" t="inlineStr">
        <is>
          <t>INT</t>
        </is>
      </c>
      <c r="I115" s="9" t="inlineStr">
        <is>
          <t>N/A</t>
        </is>
      </c>
      <c r="J115" s="9" t="inlineStr">
        <is>
          <t>No</t>
        </is>
      </c>
      <c r="K115" s="9" t="inlineStr">
        <is>
          <t>None declared</t>
        </is>
      </c>
      <c r="L115" s="9" t="inlineStr">
        <is>
          <t>Trade source version</t>
        </is>
      </c>
      <c r="M115" s="9" t="inlineStr">
        <is>
          <t>CSV.version</t>
        </is>
      </c>
      <c r="N115" s="9" t="inlineStr">
        <is>
          <t>try_cast to INT</t>
        </is>
      </c>
      <c r="O115" s="9" t="inlineStr">
        <is>
          <t>Positive; latest version wins</t>
        </is>
      </c>
      <c r="P115" s="9" t="inlineStr">
        <is>
          <t>No physical PK/partition/clustering</t>
        </is>
      </c>
      <c r="Q115" s="9" t="inlineStr">
        <is>
          <t>Conditional MERGE; unusable present IDs removed</t>
        </is>
      </c>
      <c r="R115" s="9" t="inlineStr">
        <is>
          <t>database/tables/silver/trades.sql</t>
        </is>
      </c>
    </row>
    <row r="116" ht="34" customHeight="1">
      <c r="A116" s="8" t="inlineStr">
        <is>
          <t>cibc</t>
        </is>
      </c>
      <c r="B116" s="8" t="inlineStr">
        <is>
          <t>silver</t>
        </is>
      </c>
      <c r="C116" s="8" t="inlineStr">
        <is>
          <t>trades</t>
        </is>
      </c>
      <c r="D116" s="8" t="inlineStr">
        <is>
          <t>Validated current trade versions</t>
        </is>
      </c>
      <c r="E116" s="8" t="inlineStr">
        <is>
          <t>One accepted row per trade_id</t>
        </is>
      </c>
      <c r="F116" s="8" t="inlineStr">
        <is>
          <t>trade_id</t>
        </is>
      </c>
      <c r="G116" s="8" t="inlineStr">
        <is>
          <t>modified_timestamp</t>
        </is>
      </c>
      <c r="H116" s="8" t="inlineStr">
        <is>
          <t>TIMESTAMP</t>
        </is>
      </c>
      <c r="I116" s="8" t="inlineStr">
        <is>
          <t>N/A</t>
        </is>
      </c>
      <c r="J116" s="8" t="inlineStr">
        <is>
          <t>No</t>
        </is>
      </c>
      <c r="K116" s="8" t="inlineStr">
        <is>
          <t>None declared</t>
        </is>
      </c>
      <c r="L116" s="8" t="inlineStr">
        <is>
          <t>Trade source correction timestamp</t>
        </is>
      </c>
      <c r="M116" s="8" t="inlineStr">
        <is>
          <t>CSV.modified_timestamp</t>
        </is>
      </c>
      <c r="N116" s="8" t="inlineStr">
        <is>
          <t>try_cast to TIMESTAMP</t>
        </is>
      </c>
      <c r="O116" s="8" t="inlineStr">
        <is>
          <t>Required; not earlier than trade timestamp</t>
        </is>
      </c>
      <c r="P116" s="8" t="inlineStr">
        <is>
          <t>No physical PK/partition/clustering</t>
        </is>
      </c>
      <c r="Q116" s="8" t="inlineStr">
        <is>
          <t>Conditional MERGE; unusable present IDs removed</t>
        </is>
      </c>
      <c r="R116" s="8" t="inlineStr">
        <is>
          <t>database/tables/silver/trades.sql</t>
        </is>
      </c>
    </row>
    <row r="117" ht="34" customHeight="1">
      <c r="A117" s="9" t="inlineStr">
        <is>
          <t>cibc</t>
        </is>
      </c>
      <c r="B117" s="9" t="inlineStr">
        <is>
          <t>silver</t>
        </is>
      </c>
      <c r="C117" s="9" t="inlineStr">
        <is>
          <t>trades</t>
        </is>
      </c>
      <c r="D117" s="9" t="inlineStr">
        <is>
          <t>Validated current trade versions</t>
        </is>
      </c>
      <c r="E117" s="9" t="inlineStr">
        <is>
          <t>One accepted row per trade_id</t>
        </is>
      </c>
      <c r="F117" s="9" t="inlineStr">
        <is>
          <t>trade_id</t>
        </is>
      </c>
      <c r="G117" s="9" t="inlineStr">
        <is>
          <t>bronze_run_id</t>
        </is>
      </c>
      <c r="H117" s="9" t="inlineStr">
        <is>
          <t>STRING</t>
        </is>
      </c>
      <c r="I117" s="9" t="inlineStr">
        <is>
          <t>N/A</t>
        </is>
      </c>
      <c r="J117" s="9" t="inlineStr">
        <is>
          <t>Yes</t>
        </is>
      </c>
      <c r="K117" s="9" t="inlineStr">
        <is>
          <t>None declared</t>
        </is>
      </c>
      <c r="L117" s="9" t="inlineStr">
        <is>
          <t>Bronze source run identifier</t>
        </is>
      </c>
      <c r="M117" s="9" t="inlineStr">
        <is>
          <t>Bronze.run_id</t>
        </is>
      </c>
      <c r="N117" s="9" t="inlineStr">
        <is>
          <t>Propagated selected-row lineage</t>
        </is>
      </c>
      <c r="O117" s="9" t="inlineStr">
        <is>
          <t>Lineage may be nullable on historical rows</t>
        </is>
      </c>
      <c r="P117" s="9" t="inlineStr">
        <is>
          <t>No physical PK/partition/clustering</t>
        </is>
      </c>
      <c r="Q117" s="9" t="inlineStr">
        <is>
          <t>Conditional MERGE; unusable present IDs removed</t>
        </is>
      </c>
      <c r="R117" s="9" t="inlineStr">
        <is>
          <t>database/tables/silver/trades.sql</t>
        </is>
      </c>
    </row>
    <row r="118" ht="34" customHeight="1">
      <c r="A118" s="8" t="inlineStr">
        <is>
          <t>cibc</t>
        </is>
      </c>
      <c r="B118" s="8" t="inlineStr">
        <is>
          <t>silver</t>
        </is>
      </c>
      <c r="C118" s="8" t="inlineStr">
        <is>
          <t>trades</t>
        </is>
      </c>
      <c r="D118" s="8" t="inlineStr">
        <is>
          <t>Validated current trade versions</t>
        </is>
      </c>
      <c r="E118" s="8" t="inlineStr">
        <is>
          <t>One accepted row per trade_id</t>
        </is>
      </c>
      <c r="F118" s="8" t="inlineStr">
        <is>
          <t>trade_id</t>
        </is>
      </c>
      <c r="G118" s="8" t="inlineStr">
        <is>
          <t>bronze_ingestion_timestamp</t>
        </is>
      </c>
      <c r="H118" s="8" t="inlineStr">
        <is>
          <t>TIMESTAMP</t>
        </is>
      </c>
      <c r="I118" s="8" t="inlineStr">
        <is>
          <t>N/A</t>
        </is>
      </c>
      <c r="J118" s="8" t="inlineStr">
        <is>
          <t>Yes</t>
        </is>
      </c>
      <c r="K118" s="8" t="inlineStr">
        <is>
          <t>None declared</t>
        </is>
      </c>
      <c r="L118" s="8" t="inlineStr">
        <is>
          <t>Bronze ingestion timestamp</t>
        </is>
      </c>
      <c r="M118" s="8" t="inlineStr">
        <is>
          <t>Bronze.ingestion_timestamp</t>
        </is>
      </c>
      <c r="N118" s="8" t="inlineStr">
        <is>
          <t>Propagated selected-row lineage</t>
        </is>
      </c>
      <c r="O118" s="8" t="inlineStr">
        <is>
          <t>Lineage may be nullable on historical rows</t>
        </is>
      </c>
      <c r="P118" s="8" t="inlineStr">
        <is>
          <t>No physical PK/partition/clustering</t>
        </is>
      </c>
      <c r="Q118" s="8" t="inlineStr">
        <is>
          <t>Conditional MERGE; unusable present IDs removed</t>
        </is>
      </c>
      <c r="R118" s="8" t="inlineStr">
        <is>
          <t>database/tables/silver/trades.sql</t>
        </is>
      </c>
    </row>
    <row r="119" ht="34" customHeight="1">
      <c r="A119" s="9" t="inlineStr">
        <is>
          <t>cibc</t>
        </is>
      </c>
      <c r="B119" s="9" t="inlineStr">
        <is>
          <t>silver</t>
        </is>
      </c>
      <c r="C119" s="9" t="inlineStr">
        <is>
          <t>trades</t>
        </is>
      </c>
      <c r="D119" s="9" t="inlineStr">
        <is>
          <t>Validated current trade versions</t>
        </is>
      </c>
      <c r="E119" s="9" t="inlineStr">
        <is>
          <t>One accepted row per trade_id</t>
        </is>
      </c>
      <c r="F119" s="9" t="inlineStr">
        <is>
          <t>trade_id</t>
        </is>
      </c>
      <c r="G119" s="9" t="inlineStr">
        <is>
          <t>source_file</t>
        </is>
      </c>
      <c r="H119" s="9" t="inlineStr">
        <is>
          <t>STRING</t>
        </is>
      </c>
      <c r="I119" s="9" t="inlineStr">
        <is>
          <t>N/A</t>
        </is>
      </c>
      <c r="J119" s="9" t="inlineStr">
        <is>
          <t>Yes</t>
        </is>
      </c>
      <c r="K119" s="9" t="inlineStr">
        <is>
          <t>None declared</t>
        </is>
      </c>
      <c r="L119" s="9" t="inlineStr">
        <is>
          <t>Source path/file lineage</t>
        </is>
      </c>
      <c r="M119" s="9" t="inlineStr">
        <is>
          <t>Input Volume path</t>
        </is>
      </c>
      <c r="N119" s="9" t="inlineStr">
        <is>
          <t>Added at Bronze ingestion; propagated to Silver trade</t>
        </is>
      </c>
      <c r="O119" s="9" t="inlineStr">
        <is>
          <t>Required lineage in Bronze; nullable in Silver DDL</t>
        </is>
      </c>
      <c r="P119" s="9" t="inlineStr">
        <is>
          <t>No physical PK/partition/clustering</t>
        </is>
      </c>
      <c r="Q119" s="9" t="inlineStr">
        <is>
          <t>Conditional MERGE; unusable present IDs removed</t>
        </is>
      </c>
      <c r="R119" s="9" t="inlineStr">
        <is>
          <t>database/tables/silver/trades.sql</t>
        </is>
      </c>
    </row>
    <row r="120" ht="34" customHeight="1">
      <c r="A120" s="8" t="inlineStr">
        <is>
          <t>cibc</t>
        </is>
      </c>
      <c r="B120" s="8" t="inlineStr">
        <is>
          <t>silver</t>
        </is>
      </c>
      <c r="C120" s="8" t="inlineStr">
        <is>
          <t>trades_rejects</t>
        </is>
      </c>
      <c r="D120" s="8" t="inlineStr">
        <is>
          <t>Trade data-quality and version rejects</t>
        </is>
      </c>
      <c r="E120" s="8" t="inlineStr">
        <is>
          <t>One rejected raw record/reason history row</t>
        </is>
      </c>
      <c r="F120" s="8" t="inlineStr">
        <is>
          <t>Logical reject key from business columns + source file + reason</t>
        </is>
      </c>
      <c r="G120" s="8" t="inlineStr">
        <is>
          <t>id</t>
        </is>
      </c>
      <c r="H120" s="8" t="inlineStr">
        <is>
          <t>BIGINT GENERATED ALWAYS AS IDENTITY</t>
        </is>
      </c>
      <c r="I120" s="8" t="inlineStr">
        <is>
          <t>N/A</t>
        </is>
      </c>
      <c r="J120" s="8" t="inlineStr">
        <is>
          <t>Generated</t>
        </is>
      </c>
      <c r="K120" s="8" t="inlineStr">
        <is>
          <t>None declared</t>
        </is>
      </c>
      <c r="L120" s="8" t="inlineStr">
        <is>
          <t>Delta identity surrogate</t>
        </is>
      </c>
      <c r="M120" s="8" t="inlineStr">
        <is>
          <t>Delta table engine</t>
        </is>
      </c>
      <c r="N120" s="8" t="inlineStr">
        <is>
          <t>GENERATED ALWAYS AS IDENTITY</t>
        </is>
      </c>
      <c r="O120" s="8" t="inlineStr">
        <is>
          <t>Not a business key; omitted from MERGE source</t>
        </is>
      </c>
      <c r="P120" s="8" t="inlineStr">
        <is>
          <t>No physical PK/partition/clustering</t>
        </is>
      </c>
      <c r="Q120" s="8" t="inlineStr">
        <is>
          <t>Insert-once MERGE reject history</t>
        </is>
      </c>
      <c r="R120" s="8" t="inlineStr">
        <is>
          <t>database/tables/silver/trades_rejects.sql</t>
        </is>
      </c>
    </row>
    <row r="121" ht="34" customHeight="1">
      <c r="A121" s="9" t="inlineStr">
        <is>
          <t>cibc</t>
        </is>
      </c>
      <c r="B121" s="9" t="inlineStr">
        <is>
          <t>silver</t>
        </is>
      </c>
      <c r="C121" s="9" t="inlineStr">
        <is>
          <t>trades_rejects</t>
        </is>
      </c>
      <c r="D121" s="9" t="inlineStr">
        <is>
          <t>Trade data-quality and version rejects</t>
        </is>
      </c>
      <c r="E121" s="9" t="inlineStr">
        <is>
          <t>One rejected raw record/reason history row</t>
        </is>
      </c>
      <c r="F121" s="9" t="inlineStr">
        <is>
          <t>Logical reject key from business columns + source file + reason</t>
        </is>
      </c>
      <c r="G121" s="9" t="inlineStr">
        <is>
          <t>trade_id</t>
        </is>
      </c>
      <c r="H121" s="9" t="inlineStr">
        <is>
          <t>STRING</t>
        </is>
      </c>
      <c r="I121" s="9" t="inlineStr">
        <is>
          <t>N/A</t>
        </is>
      </c>
      <c r="J121" s="9" t="inlineStr">
        <is>
          <t>Yes</t>
        </is>
      </c>
      <c r="K121" s="9" t="inlineStr">
        <is>
          <t>None declared</t>
        </is>
      </c>
      <c r="L121" s="9" t="inlineStr">
        <is>
          <t>Trade identifier on valuation break</t>
        </is>
      </c>
      <c r="M121" s="9" t="inlineStr">
        <is>
          <t>Silver trade</t>
        </is>
      </c>
      <c r="N121" s="9" t="inlineStr">
        <is>
          <t>Nullable for instrument/date-level break</t>
        </is>
      </c>
      <c r="O121" s="9" t="inlineStr">
        <is>
          <t>Nullable</t>
        </is>
      </c>
      <c r="P121" s="9" t="inlineStr">
        <is>
          <t>No physical PK/partition/clustering</t>
        </is>
      </c>
      <c r="Q121" s="9" t="inlineStr">
        <is>
          <t>Insert-once MERGE reject history</t>
        </is>
      </c>
      <c r="R121" s="9" t="inlineStr">
        <is>
          <t>database/tables/silver/trades_rejects.sql</t>
        </is>
      </c>
    </row>
    <row r="122" ht="34" customHeight="1">
      <c r="A122" s="8" t="inlineStr">
        <is>
          <t>cibc</t>
        </is>
      </c>
      <c r="B122" s="8" t="inlineStr">
        <is>
          <t>silver</t>
        </is>
      </c>
      <c r="C122" s="8" t="inlineStr">
        <is>
          <t>trades_rejects</t>
        </is>
      </c>
      <c r="D122" s="8" t="inlineStr">
        <is>
          <t>Trade data-quality and version rejects</t>
        </is>
      </c>
      <c r="E122" s="8" t="inlineStr">
        <is>
          <t>One rejected raw record/reason history row</t>
        </is>
      </c>
      <c r="F122" s="8" t="inlineStr">
        <is>
          <t>Logical reject key from business columns + source file + reason</t>
        </is>
      </c>
      <c r="G122" s="8" t="inlineStr">
        <is>
          <t>counterparty_id</t>
        </is>
      </c>
      <c r="H122" s="8" t="inlineStr">
        <is>
          <t>STRING</t>
        </is>
      </c>
      <c r="I122" s="8" t="inlineStr">
        <is>
          <t>N/A</t>
        </is>
      </c>
      <c r="J122" s="8" t="inlineStr">
        <is>
          <t>Yes</t>
        </is>
      </c>
      <c r="K122" s="8" t="inlineStr">
        <is>
          <t>None declared</t>
        </is>
      </c>
      <c r="L122" s="8" t="inlineStr">
        <is>
          <t>Counterparty identifier</t>
        </is>
      </c>
      <c r="M122" s="8" t="inlineStr">
        <is>
          <t>CSV.counterparty_id</t>
        </is>
      </c>
      <c r="N122" s="8" t="inlineStr">
        <is>
          <t>Preserved as STRING</t>
        </is>
      </c>
      <c r="O122" s="8" t="inlineStr">
        <is>
          <t>Required/nonblank for accepted trade</t>
        </is>
      </c>
      <c r="P122" s="8" t="inlineStr">
        <is>
          <t>No physical PK/partition/clustering</t>
        </is>
      </c>
      <c r="Q122" s="8" t="inlineStr">
        <is>
          <t>Insert-once MERGE reject history</t>
        </is>
      </c>
      <c r="R122" s="8" t="inlineStr">
        <is>
          <t>database/tables/silver/trades_rejects.sql</t>
        </is>
      </c>
    </row>
    <row r="123" ht="34" customHeight="1">
      <c r="A123" s="9" t="inlineStr">
        <is>
          <t>cibc</t>
        </is>
      </c>
      <c r="B123" s="9" t="inlineStr">
        <is>
          <t>silver</t>
        </is>
      </c>
      <c r="C123" s="9" t="inlineStr">
        <is>
          <t>trades_rejects</t>
        </is>
      </c>
      <c r="D123" s="9" t="inlineStr">
        <is>
          <t>Trade data-quality and version rejects</t>
        </is>
      </c>
      <c r="E123" s="9" t="inlineStr">
        <is>
          <t>One rejected raw record/reason history row</t>
        </is>
      </c>
      <c r="F123" s="9" t="inlineStr">
        <is>
          <t>Logical reject key from business columns + source file + reason</t>
        </is>
      </c>
      <c r="G123" s="9" t="inlineStr">
        <is>
          <t>instrument_id</t>
        </is>
      </c>
      <c r="H123" s="9" t="inlineStr">
        <is>
          <t>STRING</t>
        </is>
      </c>
      <c r="I123" s="9" t="inlineStr">
        <is>
          <t>N/A</t>
        </is>
      </c>
      <c r="J123" s="9" t="inlineStr">
        <is>
          <t>Yes</t>
        </is>
      </c>
      <c r="K123" s="9" t="inlineStr">
        <is>
          <t>None declared</t>
        </is>
      </c>
      <c r="L123" s="9" t="inlineStr">
        <is>
          <t>Instrument identifier on position/break</t>
        </is>
      </c>
      <c r="M123" s="9" t="inlineStr">
        <is>
          <t>Configured mapping or Silver trade</t>
        </is>
      </c>
      <c r="N123" s="9" t="inlineStr">
        <is>
          <t>STRING</t>
        </is>
      </c>
      <c r="O123" s="9" t="inlineStr">
        <is>
          <t>Required on accepted trade; nullable in break DDL</t>
        </is>
      </c>
      <c r="P123" s="9" t="inlineStr">
        <is>
          <t>No physical PK/partition/clustering</t>
        </is>
      </c>
      <c r="Q123" s="9" t="inlineStr">
        <is>
          <t>Insert-once MERGE reject history</t>
        </is>
      </c>
      <c r="R123" s="9" t="inlineStr">
        <is>
          <t>database/tables/silver/trades_rejects.sql</t>
        </is>
      </c>
    </row>
    <row r="124" ht="34" customHeight="1">
      <c r="A124" s="8" t="inlineStr">
        <is>
          <t>cibc</t>
        </is>
      </c>
      <c r="B124" s="8" t="inlineStr">
        <is>
          <t>silver</t>
        </is>
      </c>
      <c r="C124" s="8" t="inlineStr">
        <is>
          <t>trades_rejects</t>
        </is>
      </c>
      <c r="D124" s="8" t="inlineStr">
        <is>
          <t>Trade data-quality and version rejects</t>
        </is>
      </c>
      <c r="E124" s="8" t="inlineStr">
        <is>
          <t>One rejected raw record/reason history row</t>
        </is>
      </c>
      <c r="F124" s="8" t="inlineStr">
        <is>
          <t>Logical reject key from business columns + source file + reason</t>
        </is>
      </c>
      <c r="G124" s="8" t="inlineStr">
        <is>
          <t>symbol</t>
        </is>
      </c>
      <c r="H124" s="8" t="inlineStr">
        <is>
          <t>STRING</t>
        </is>
      </c>
      <c r="I124" s="8" t="inlineStr">
        <is>
          <t>N/A</t>
        </is>
      </c>
      <c r="J124" s="8" t="inlineStr">
        <is>
          <t>Yes</t>
        </is>
      </c>
      <c r="K124" s="8" t="inlineStr">
        <is>
          <t>None declared</t>
        </is>
      </c>
      <c r="L124" s="8" t="inlineStr">
        <is>
          <t>Market ticker symbol</t>
        </is>
      </c>
      <c r="M124" s="8" t="inlineStr">
        <is>
          <t>CSV.symbol or configured instrument mapping</t>
        </is>
      </c>
      <c r="N124" s="8" t="inlineStr">
        <is>
          <t>Normalized/validated against instrument map</t>
        </is>
      </c>
      <c r="O124" s="8" t="inlineStr">
        <is>
          <t>Required; mapped and consistent</t>
        </is>
      </c>
      <c r="P124" s="8" t="inlineStr">
        <is>
          <t>No physical PK/partition/clustering</t>
        </is>
      </c>
      <c r="Q124" s="8" t="inlineStr">
        <is>
          <t>Insert-once MERGE reject history</t>
        </is>
      </c>
      <c r="R124" s="8" t="inlineStr">
        <is>
          <t>database/tables/silver/trades_rejects.sql</t>
        </is>
      </c>
    </row>
    <row r="125" ht="34" customHeight="1">
      <c r="A125" s="9" t="inlineStr">
        <is>
          <t>cibc</t>
        </is>
      </c>
      <c r="B125" s="9" t="inlineStr">
        <is>
          <t>silver</t>
        </is>
      </c>
      <c r="C125" s="9" t="inlineStr">
        <is>
          <t>trades_rejects</t>
        </is>
      </c>
      <c r="D125" s="9" t="inlineStr">
        <is>
          <t>Trade data-quality and version rejects</t>
        </is>
      </c>
      <c r="E125" s="9" t="inlineStr">
        <is>
          <t>One rejected raw record/reason history row</t>
        </is>
      </c>
      <c r="F125" s="9" t="inlineStr">
        <is>
          <t>Logical reject key from business columns + source file + reason</t>
        </is>
      </c>
      <c r="G125" s="9" t="inlineStr">
        <is>
          <t>side</t>
        </is>
      </c>
      <c r="H125" s="9" t="inlineStr">
        <is>
          <t>STRING</t>
        </is>
      </c>
      <c r="I125" s="9" t="inlineStr">
        <is>
          <t>N/A</t>
        </is>
      </c>
      <c r="J125" s="9" t="inlineStr">
        <is>
          <t>Yes</t>
        </is>
      </c>
      <c r="K125" s="9" t="inlineStr">
        <is>
          <t>None declared</t>
        </is>
      </c>
      <c r="L125" s="9" t="inlineStr">
        <is>
          <t>Source trade direction</t>
        </is>
      </c>
      <c r="M125" s="9" t="inlineStr">
        <is>
          <t>CSV.side</t>
        </is>
      </c>
      <c r="N125" s="9" t="inlineStr">
        <is>
          <t>Raw value retained in Bronze/reject; used to sign quantity</t>
        </is>
      </c>
      <c r="O125" s="9" t="inlineStr">
        <is>
          <t>BUY or SELL</t>
        </is>
      </c>
      <c r="P125" s="9" t="inlineStr">
        <is>
          <t>No physical PK/partition/clustering</t>
        </is>
      </c>
      <c r="Q125" s="9" t="inlineStr">
        <is>
          <t>Insert-once MERGE reject history</t>
        </is>
      </c>
      <c r="R125" s="9" t="inlineStr">
        <is>
          <t>database/tables/silver/trades_rejects.sql</t>
        </is>
      </c>
    </row>
    <row r="126" ht="34" customHeight="1">
      <c r="A126" s="8" t="inlineStr">
        <is>
          <t>cibc</t>
        </is>
      </c>
      <c r="B126" s="8" t="inlineStr">
        <is>
          <t>silver</t>
        </is>
      </c>
      <c r="C126" s="8" t="inlineStr">
        <is>
          <t>trades_rejects</t>
        </is>
      </c>
      <c r="D126" s="8" t="inlineStr">
        <is>
          <t>Trade data-quality and version rejects</t>
        </is>
      </c>
      <c r="E126" s="8" t="inlineStr">
        <is>
          <t>One rejected raw record/reason history row</t>
        </is>
      </c>
      <c r="F126" s="8" t="inlineStr">
        <is>
          <t>Logical reject key from business columns + source file + reason</t>
        </is>
      </c>
      <c r="G126" s="8" t="inlineStr">
        <is>
          <t>quantity</t>
        </is>
      </c>
      <c r="H126" s="8" t="inlineStr">
        <is>
          <t>STRING</t>
        </is>
      </c>
      <c r="I126" s="8" t="inlineStr">
        <is>
          <t>N/A</t>
        </is>
      </c>
      <c r="J126" s="8" t="inlineStr">
        <is>
          <t>Yes</t>
        </is>
      </c>
      <c r="K126" s="8" t="inlineStr">
        <is>
          <t>None declared</t>
        </is>
      </c>
      <c r="L126" s="8" t="inlineStr">
        <is>
          <t>Trade or position quantity</t>
        </is>
      </c>
      <c r="M126" s="8" t="inlineStr">
        <is>
          <t>CSV.quantity or Silver trades.quantity</t>
        </is>
      </c>
      <c r="N126" s="8" t="inlineStr">
        <is>
          <t>DECIMAL(18,6); SELL is negative in Silver; aggregates use DECIMAL(28,6)</t>
        </is>
      </c>
      <c r="O126" s="8" t="inlineStr">
        <is>
          <t>Nonzero; BUY positive; SELL negative after normalization</t>
        </is>
      </c>
      <c r="P126" s="8" t="inlineStr">
        <is>
          <t>No physical PK/partition/clustering</t>
        </is>
      </c>
      <c r="Q126" s="8" t="inlineStr">
        <is>
          <t>Insert-once MERGE reject history</t>
        </is>
      </c>
      <c r="R126" s="8" t="inlineStr">
        <is>
          <t>database/tables/silver/trades_rejects.sql</t>
        </is>
      </c>
    </row>
    <row r="127" ht="34" customHeight="1">
      <c r="A127" s="9" t="inlineStr">
        <is>
          <t>cibc</t>
        </is>
      </c>
      <c r="B127" s="9" t="inlineStr">
        <is>
          <t>silver</t>
        </is>
      </c>
      <c r="C127" s="9" t="inlineStr">
        <is>
          <t>trades_rejects</t>
        </is>
      </c>
      <c r="D127" s="9" t="inlineStr">
        <is>
          <t>Trade data-quality and version rejects</t>
        </is>
      </c>
      <c r="E127" s="9" t="inlineStr">
        <is>
          <t>One rejected raw record/reason history row</t>
        </is>
      </c>
      <c r="F127" s="9" t="inlineStr">
        <is>
          <t>Logical reject key from business columns + source file + reason</t>
        </is>
      </c>
      <c r="G127" s="9" t="inlineStr">
        <is>
          <t>price</t>
        </is>
      </c>
      <c r="H127" s="9" t="inlineStr">
        <is>
          <t>STRING</t>
        </is>
      </c>
      <c r="I127" s="9" t="inlineStr">
        <is>
          <t>N/A</t>
        </is>
      </c>
      <c r="J127" s="9" t="inlineStr">
        <is>
          <t>Yes</t>
        </is>
      </c>
      <c r="K127" s="9" t="inlineStr">
        <is>
          <t>None declared</t>
        </is>
      </c>
      <c r="L127" s="9" t="inlineStr">
        <is>
          <t>Trade execution price</t>
        </is>
      </c>
      <c r="M127" s="9" t="inlineStr">
        <is>
          <t>CSV.price</t>
        </is>
      </c>
      <c r="N127" s="9" t="inlineStr">
        <is>
          <t>try_cast to DECIMAL(18,6)</t>
        </is>
      </c>
      <c r="O127" s="9" t="inlineStr">
        <is>
          <t>Required and &gt; 0</t>
        </is>
      </c>
      <c r="P127" s="9" t="inlineStr">
        <is>
          <t>No physical PK/partition/clustering</t>
        </is>
      </c>
      <c r="Q127" s="9" t="inlineStr">
        <is>
          <t>Insert-once MERGE reject history</t>
        </is>
      </c>
      <c r="R127" s="9" t="inlineStr">
        <is>
          <t>database/tables/silver/trades_rejects.sql</t>
        </is>
      </c>
    </row>
    <row r="128" ht="34" customHeight="1">
      <c r="A128" s="8" t="inlineStr">
        <is>
          <t>cibc</t>
        </is>
      </c>
      <c r="B128" s="8" t="inlineStr">
        <is>
          <t>silver</t>
        </is>
      </c>
      <c r="C128" s="8" t="inlineStr">
        <is>
          <t>trades_rejects</t>
        </is>
      </c>
      <c r="D128" s="8" t="inlineStr">
        <is>
          <t>Trade data-quality and version rejects</t>
        </is>
      </c>
      <c r="E128" s="8" t="inlineStr">
        <is>
          <t>One rejected raw record/reason history row</t>
        </is>
      </c>
      <c r="F128" s="8" t="inlineStr">
        <is>
          <t>Logical reject key from business columns + source file + reason</t>
        </is>
      </c>
      <c r="G128" s="8" t="inlineStr">
        <is>
          <t>currency</t>
        </is>
      </c>
      <c r="H128" s="8" t="inlineStr">
        <is>
          <t>STRING</t>
        </is>
      </c>
      <c r="I128" s="8" t="inlineStr">
        <is>
          <t>N/A</t>
        </is>
      </c>
      <c r="J128" s="8" t="inlineStr">
        <is>
          <t>Yes</t>
        </is>
      </c>
      <c r="K128" s="8" t="inlineStr">
        <is>
          <t>None declared</t>
        </is>
      </c>
      <c r="L128" s="8" t="inlineStr">
        <is>
          <t>Financial reporting currency</t>
        </is>
      </c>
      <c r="M128" s="8" t="inlineStr">
        <is>
          <t>Trade/price source</t>
        </is>
      </c>
      <c r="N128" s="8" t="inlineStr">
        <is>
          <t>USD-only prototype</t>
        </is>
      </c>
      <c r="O128" s="8" t="inlineStr">
        <is>
          <t>Required on core accepted/Gold data</t>
        </is>
      </c>
      <c r="P128" s="8" t="inlineStr">
        <is>
          <t>No physical PK/partition/clustering</t>
        </is>
      </c>
      <c r="Q128" s="8" t="inlineStr">
        <is>
          <t>Insert-once MERGE reject history</t>
        </is>
      </c>
      <c r="R128" s="8" t="inlineStr">
        <is>
          <t>database/tables/silver/trades_rejects.sql</t>
        </is>
      </c>
    </row>
    <row r="129" ht="34" customHeight="1">
      <c r="A129" s="9" t="inlineStr">
        <is>
          <t>cibc</t>
        </is>
      </c>
      <c r="B129" s="9" t="inlineStr">
        <is>
          <t>silver</t>
        </is>
      </c>
      <c r="C129" s="9" t="inlineStr">
        <is>
          <t>trades_rejects</t>
        </is>
      </c>
      <c r="D129" s="9" t="inlineStr">
        <is>
          <t>Trade data-quality and version rejects</t>
        </is>
      </c>
      <c r="E129" s="9" t="inlineStr">
        <is>
          <t>One rejected raw record/reason history row</t>
        </is>
      </c>
      <c r="F129" s="9" t="inlineStr">
        <is>
          <t>Logical reject key from business columns + source file + reason</t>
        </is>
      </c>
      <c r="G129" s="9" t="inlineStr">
        <is>
          <t>trade_timestamp</t>
        </is>
      </c>
      <c r="H129" s="9" t="inlineStr">
        <is>
          <t>STRING</t>
        </is>
      </c>
      <c r="I129" s="9" t="inlineStr">
        <is>
          <t>N/A</t>
        </is>
      </c>
      <c r="J129" s="9" t="inlineStr">
        <is>
          <t>Yes</t>
        </is>
      </c>
      <c r="K129" s="9" t="inlineStr">
        <is>
          <t>None declared</t>
        </is>
      </c>
      <c r="L129" s="9" t="inlineStr">
        <is>
          <t>Trade event timestamp</t>
        </is>
      </c>
      <c r="M129" s="9" t="inlineStr">
        <is>
          <t>CSV.trade_timestamp</t>
        </is>
      </c>
      <c r="N129" s="9" t="inlineStr">
        <is>
          <t>try_cast to TIMESTAMP</t>
        </is>
      </c>
      <c r="O129" s="9" t="inlineStr">
        <is>
          <t>Required; date must match trade_date</t>
        </is>
      </c>
      <c r="P129" s="9" t="inlineStr">
        <is>
          <t>No physical PK/partition/clustering</t>
        </is>
      </c>
      <c r="Q129" s="9" t="inlineStr">
        <is>
          <t>Insert-once MERGE reject history</t>
        </is>
      </c>
      <c r="R129" s="9" t="inlineStr">
        <is>
          <t>database/tables/silver/trades_rejects.sql</t>
        </is>
      </c>
    </row>
    <row r="130" ht="34" customHeight="1">
      <c r="A130" s="8" t="inlineStr">
        <is>
          <t>cibc</t>
        </is>
      </c>
      <c r="B130" s="8" t="inlineStr">
        <is>
          <t>silver</t>
        </is>
      </c>
      <c r="C130" s="8" t="inlineStr">
        <is>
          <t>trades_rejects</t>
        </is>
      </c>
      <c r="D130" s="8" t="inlineStr">
        <is>
          <t>Trade data-quality and version rejects</t>
        </is>
      </c>
      <c r="E130" s="8" t="inlineStr">
        <is>
          <t>One rejected raw record/reason history row</t>
        </is>
      </c>
      <c r="F130" s="8" t="inlineStr">
        <is>
          <t>Logical reject key from business columns + source file + reason</t>
        </is>
      </c>
      <c r="G130" s="8" t="inlineStr">
        <is>
          <t>trade_date</t>
        </is>
      </c>
      <c r="H130" s="8" t="inlineStr">
        <is>
          <t>STRING</t>
        </is>
      </c>
      <c r="I130" s="8" t="inlineStr">
        <is>
          <t>N/A</t>
        </is>
      </c>
      <c r="J130" s="8" t="inlineStr">
        <is>
          <t>Yes</t>
        </is>
      </c>
      <c r="K130" s="8" t="inlineStr">
        <is>
          <t>None declared</t>
        </is>
      </c>
      <c r="L130" s="8" t="inlineStr">
        <is>
          <t>Trade business date</t>
        </is>
      </c>
      <c r="M130" s="8" t="inlineStr">
        <is>
          <t>CSV.trade_date</t>
        </is>
      </c>
      <c r="N130" s="8" t="inlineStr">
        <is>
          <t>try_cast to DATE; drives daily position activity</t>
        </is>
      </c>
      <c r="O130" s="8" t="inlineStr">
        <is>
          <t>Required; supported session and not future</t>
        </is>
      </c>
      <c r="P130" s="8" t="inlineStr">
        <is>
          <t>No physical PK/partition/clustering</t>
        </is>
      </c>
      <c r="Q130" s="8" t="inlineStr">
        <is>
          <t>Insert-once MERGE reject history</t>
        </is>
      </c>
      <c r="R130" s="8" t="inlineStr">
        <is>
          <t>database/tables/silver/trades_rejects.sql</t>
        </is>
      </c>
    </row>
    <row r="131" ht="34" customHeight="1">
      <c r="A131" s="9" t="inlineStr">
        <is>
          <t>cibc</t>
        </is>
      </c>
      <c r="B131" s="9" t="inlineStr">
        <is>
          <t>silver</t>
        </is>
      </c>
      <c r="C131" s="9" t="inlineStr">
        <is>
          <t>trades_rejects</t>
        </is>
      </c>
      <c r="D131" s="9" t="inlineStr">
        <is>
          <t>Trade data-quality and version rejects</t>
        </is>
      </c>
      <c r="E131" s="9" t="inlineStr">
        <is>
          <t>One rejected raw record/reason history row</t>
        </is>
      </c>
      <c r="F131" s="9" t="inlineStr">
        <is>
          <t>Logical reject key from business columns + source file + reason</t>
        </is>
      </c>
      <c r="G131" s="9" t="inlineStr">
        <is>
          <t>settlement_date</t>
        </is>
      </c>
      <c r="H131" s="9" t="inlineStr">
        <is>
          <t>STRING</t>
        </is>
      </c>
      <c r="I131" s="9" t="inlineStr">
        <is>
          <t>N/A</t>
        </is>
      </c>
      <c r="J131" s="9" t="inlineStr">
        <is>
          <t>Yes</t>
        </is>
      </c>
      <c r="K131" s="9" t="inlineStr">
        <is>
          <t>None declared</t>
        </is>
      </c>
      <c r="L131" s="9" t="inlineStr">
        <is>
          <t>Settlement business date</t>
        </is>
      </c>
      <c r="M131" s="9" t="inlineStr">
        <is>
          <t>CSV.settlement_date</t>
        </is>
      </c>
      <c r="N131" s="9" t="inlineStr">
        <is>
          <t>try_cast to DATE</t>
        </is>
      </c>
      <c r="O131" s="9" t="inlineStr">
        <is>
          <t>Required; next supported business session in current rule</t>
        </is>
      </c>
      <c r="P131" s="9" t="inlineStr">
        <is>
          <t>No physical PK/partition/clustering</t>
        </is>
      </c>
      <c r="Q131" s="9" t="inlineStr">
        <is>
          <t>Insert-once MERGE reject history</t>
        </is>
      </c>
      <c r="R131" s="9" t="inlineStr">
        <is>
          <t>database/tables/silver/trades_rejects.sql</t>
        </is>
      </c>
    </row>
    <row r="132" ht="34" customHeight="1">
      <c r="A132" s="8" t="inlineStr">
        <is>
          <t>cibc</t>
        </is>
      </c>
      <c r="B132" s="8" t="inlineStr">
        <is>
          <t>silver</t>
        </is>
      </c>
      <c r="C132" s="8" t="inlineStr">
        <is>
          <t>trades_rejects</t>
        </is>
      </c>
      <c r="D132" s="8" t="inlineStr">
        <is>
          <t>Trade data-quality and version rejects</t>
        </is>
      </c>
      <c r="E132" s="8" t="inlineStr">
        <is>
          <t>One rejected raw record/reason history row</t>
        </is>
      </c>
      <c r="F132" s="8" t="inlineStr">
        <is>
          <t>Logical reject key from business columns + source file + reason</t>
        </is>
      </c>
      <c r="G132" s="8" t="inlineStr">
        <is>
          <t>book_id</t>
        </is>
      </c>
      <c r="H132" s="8" t="inlineStr">
        <is>
          <t>STRING</t>
        </is>
      </c>
      <c r="I132" s="8" t="inlineStr">
        <is>
          <t>N/A</t>
        </is>
      </c>
      <c r="J132" s="8" t="inlineStr">
        <is>
          <t>Yes</t>
        </is>
      </c>
      <c r="K132" s="8" t="inlineStr">
        <is>
          <t>None declared</t>
        </is>
      </c>
      <c r="L132" s="8" t="inlineStr">
        <is>
          <t>Trading book identifier</t>
        </is>
      </c>
      <c r="M132" s="8" t="inlineStr">
        <is>
          <t>CSV.book_id</t>
        </is>
      </c>
      <c r="N132" s="8" t="inlineStr">
        <is>
          <t>Passed as opaque STRING</t>
        </is>
      </c>
      <c r="O132" s="8" t="inlineStr">
        <is>
          <t>Required/nonblank; book reference not persisted</t>
        </is>
      </c>
      <c r="P132" s="8" t="inlineStr">
        <is>
          <t>No physical PK/partition/clustering</t>
        </is>
      </c>
      <c r="Q132" s="8" t="inlineStr">
        <is>
          <t>Insert-once MERGE reject history</t>
        </is>
      </c>
      <c r="R132" s="8" t="inlineStr">
        <is>
          <t>database/tables/silver/trades_rejects.sql</t>
        </is>
      </c>
    </row>
    <row r="133" ht="34" customHeight="1">
      <c r="A133" s="9" t="inlineStr">
        <is>
          <t>cibc</t>
        </is>
      </c>
      <c r="B133" s="9" t="inlineStr">
        <is>
          <t>silver</t>
        </is>
      </c>
      <c r="C133" s="9" t="inlineStr">
        <is>
          <t>trades_rejects</t>
        </is>
      </c>
      <c r="D133" s="9" t="inlineStr">
        <is>
          <t>Trade data-quality and version rejects</t>
        </is>
      </c>
      <c r="E133" s="9" t="inlineStr">
        <is>
          <t>One rejected raw record/reason history row</t>
        </is>
      </c>
      <c r="F133" s="9" t="inlineStr">
        <is>
          <t>Logical reject key from business columns + source file + reason</t>
        </is>
      </c>
      <c r="G133" s="9" t="inlineStr">
        <is>
          <t>version</t>
        </is>
      </c>
      <c r="H133" s="9" t="inlineStr">
        <is>
          <t>STRING</t>
        </is>
      </c>
      <c r="I133" s="9" t="inlineStr">
        <is>
          <t>N/A</t>
        </is>
      </c>
      <c r="J133" s="9" t="inlineStr">
        <is>
          <t>Yes</t>
        </is>
      </c>
      <c r="K133" s="9" t="inlineStr">
        <is>
          <t>None declared</t>
        </is>
      </c>
      <c r="L133" s="9" t="inlineStr">
        <is>
          <t>Trade source version</t>
        </is>
      </c>
      <c r="M133" s="9" t="inlineStr">
        <is>
          <t>CSV.version</t>
        </is>
      </c>
      <c r="N133" s="9" t="inlineStr">
        <is>
          <t>try_cast to INT</t>
        </is>
      </c>
      <c r="O133" s="9" t="inlineStr">
        <is>
          <t>Positive; latest version wins</t>
        </is>
      </c>
      <c r="P133" s="9" t="inlineStr">
        <is>
          <t>No physical PK/partition/clustering</t>
        </is>
      </c>
      <c r="Q133" s="9" t="inlineStr">
        <is>
          <t>Insert-once MERGE reject history</t>
        </is>
      </c>
      <c r="R133" s="9" t="inlineStr">
        <is>
          <t>database/tables/silver/trades_rejects.sql</t>
        </is>
      </c>
    </row>
    <row r="134" ht="34" customHeight="1">
      <c r="A134" s="8" t="inlineStr">
        <is>
          <t>cibc</t>
        </is>
      </c>
      <c r="B134" s="8" t="inlineStr">
        <is>
          <t>silver</t>
        </is>
      </c>
      <c r="C134" s="8" t="inlineStr">
        <is>
          <t>trades_rejects</t>
        </is>
      </c>
      <c r="D134" s="8" t="inlineStr">
        <is>
          <t>Trade data-quality and version rejects</t>
        </is>
      </c>
      <c r="E134" s="8" t="inlineStr">
        <is>
          <t>One rejected raw record/reason history row</t>
        </is>
      </c>
      <c r="F134" s="8" t="inlineStr">
        <is>
          <t>Logical reject key from business columns + source file + reason</t>
        </is>
      </c>
      <c r="G134" s="8" t="inlineStr">
        <is>
          <t>modified_timestamp</t>
        </is>
      </c>
      <c r="H134" s="8" t="inlineStr">
        <is>
          <t>STRING</t>
        </is>
      </c>
      <c r="I134" s="8" t="inlineStr">
        <is>
          <t>N/A</t>
        </is>
      </c>
      <c r="J134" s="8" t="inlineStr">
        <is>
          <t>Yes</t>
        </is>
      </c>
      <c r="K134" s="8" t="inlineStr">
        <is>
          <t>None declared</t>
        </is>
      </c>
      <c r="L134" s="8" t="inlineStr">
        <is>
          <t>Trade source correction timestamp</t>
        </is>
      </c>
      <c r="M134" s="8" t="inlineStr">
        <is>
          <t>CSV.modified_timestamp</t>
        </is>
      </c>
      <c r="N134" s="8" t="inlineStr">
        <is>
          <t>try_cast to TIMESTAMP</t>
        </is>
      </c>
      <c r="O134" s="8" t="inlineStr">
        <is>
          <t>Required; not earlier than trade timestamp</t>
        </is>
      </c>
      <c r="P134" s="8" t="inlineStr">
        <is>
          <t>No physical PK/partition/clustering</t>
        </is>
      </c>
      <c r="Q134" s="8" t="inlineStr">
        <is>
          <t>Insert-once MERGE reject history</t>
        </is>
      </c>
      <c r="R134" s="8" t="inlineStr">
        <is>
          <t>database/tables/silver/trades_rejects.sql</t>
        </is>
      </c>
    </row>
    <row r="135" ht="34" customHeight="1">
      <c r="A135" s="9" t="inlineStr">
        <is>
          <t>cibc</t>
        </is>
      </c>
      <c r="B135" s="9" t="inlineStr">
        <is>
          <t>silver</t>
        </is>
      </c>
      <c r="C135" s="9" t="inlineStr">
        <is>
          <t>trades_rejects</t>
        </is>
      </c>
      <c r="D135" s="9" t="inlineStr">
        <is>
          <t>Trade data-quality and version rejects</t>
        </is>
      </c>
      <c r="E135" s="9" t="inlineStr">
        <is>
          <t>One rejected raw record/reason history row</t>
        </is>
      </c>
      <c r="F135" s="9" t="inlineStr">
        <is>
          <t>Logical reject key from business columns + source file + reason</t>
        </is>
      </c>
      <c r="G135" s="9" t="inlineStr">
        <is>
          <t>source_file</t>
        </is>
      </c>
      <c r="H135" s="9" t="inlineStr">
        <is>
          <t>STRING</t>
        </is>
      </c>
      <c r="I135" s="9" t="inlineStr">
        <is>
          <t>N/A</t>
        </is>
      </c>
      <c r="J135" s="9" t="inlineStr">
        <is>
          <t>Yes</t>
        </is>
      </c>
      <c r="K135" s="9" t="inlineStr">
        <is>
          <t>None declared</t>
        </is>
      </c>
      <c r="L135" s="9" t="inlineStr">
        <is>
          <t>Source path/file lineage</t>
        </is>
      </c>
      <c r="M135" s="9" t="inlineStr">
        <is>
          <t>Input Volume path</t>
        </is>
      </c>
      <c r="N135" s="9" t="inlineStr">
        <is>
          <t>Added at Bronze ingestion; propagated to Silver trade</t>
        </is>
      </c>
      <c r="O135" s="9" t="inlineStr">
        <is>
          <t>Required lineage in Bronze; nullable in Silver DDL</t>
        </is>
      </c>
      <c r="P135" s="9" t="inlineStr">
        <is>
          <t>No physical PK/partition/clustering</t>
        </is>
      </c>
      <c r="Q135" s="9" t="inlineStr">
        <is>
          <t>Insert-once MERGE reject history</t>
        </is>
      </c>
      <c r="R135" s="9" t="inlineStr">
        <is>
          <t>database/tables/silver/trades_rejects.sql</t>
        </is>
      </c>
    </row>
    <row r="136" ht="34" customHeight="1">
      <c r="A136" s="8" t="inlineStr">
        <is>
          <t>cibc</t>
        </is>
      </c>
      <c r="B136" s="8" t="inlineStr">
        <is>
          <t>silver</t>
        </is>
      </c>
      <c r="C136" s="8" t="inlineStr">
        <is>
          <t>trades_rejects</t>
        </is>
      </c>
      <c r="D136" s="8" t="inlineStr">
        <is>
          <t>Trade data-quality and version rejects</t>
        </is>
      </c>
      <c r="E136" s="8" t="inlineStr">
        <is>
          <t>One rejected raw record/reason history row</t>
        </is>
      </c>
      <c r="F136" s="8" t="inlineStr">
        <is>
          <t>Logical reject key from business columns + source file + reason</t>
        </is>
      </c>
      <c r="G136" s="8" t="inlineStr">
        <is>
          <t>ingestion_timestamp</t>
        </is>
      </c>
      <c r="H136" s="8" t="inlineStr">
        <is>
          <t>TIMESTAMP</t>
        </is>
      </c>
      <c r="I136" s="8" t="inlineStr">
        <is>
          <t>N/A</t>
        </is>
      </c>
      <c r="J136" s="8" t="inlineStr">
        <is>
          <t>Yes</t>
        </is>
      </c>
      <c r="K136" s="8" t="inlineStr">
        <is>
          <t>None declared</t>
        </is>
      </c>
      <c r="L136" s="8" t="inlineStr">
        <is>
          <t>Ingestion event timestamp</t>
        </is>
      </c>
      <c r="M136" s="8" t="inlineStr">
        <is>
          <t>Pipeline runtime</t>
        </is>
      </c>
      <c r="N136" s="8" t="inlineStr">
        <is>
          <t>current_timestamp or provider batch timestamp</t>
        </is>
      </c>
      <c r="O136" s="8" t="inlineStr">
        <is>
          <t>Audit lineage</t>
        </is>
      </c>
      <c r="P136" s="8" t="inlineStr">
        <is>
          <t>No physical PK/partition/clustering</t>
        </is>
      </c>
      <c r="Q136" s="8" t="inlineStr">
        <is>
          <t>Insert-once MERGE reject history</t>
        </is>
      </c>
      <c r="R136" s="8" t="inlineStr">
        <is>
          <t>database/tables/silver/trades_rejects.sql</t>
        </is>
      </c>
    </row>
    <row r="137" ht="34" customHeight="1">
      <c r="A137" s="9" t="inlineStr">
        <is>
          <t>cibc</t>
        </is>
      </c>
      <c r="B137" s="9" t="inlineStr">
        <is>
          <t>silver</t>
        </is>
      </c>
      <c r="C137" s="9" t="inlineStr">
        <is>
          <t>trades_rejects</t>
        </is>
      </c>
      <c r="D137" s="9" t="inlineStr">
        <is>
          <t>Trade data-quality and version rejects</t>
        </is>
      </c>
      <c r="E137" s="9" t="inlineStr">
        <is>
          <t>One rejected raw record/reason history row</t>
        </is>
      </c>
      <c r="F137" s="9" t="inlineStr">
        <is>
          <t>Logical reject key from business columns + source file + reason</t>
        </is>
      </c>
      <c r="G137" s="9" t="inlineStr">
        <is>
          <t>run_id</t>
        </is>
      </c>
      <c r="H137" s="9" t="inlineStr">
        <is>
          <t>STRING</t>
        </is>
      </c>
      <c r="I137" s="9" t="inlineStr">
        <is>
          <t>N/A</t>
        </is>
      </c>
      <c r="J137" s="9" t="inlineStr">
        <is>
          <t>Yes</t>
        </is>
      </c>
      <c r="K137" s="9" t="inlineStr">
        <is>
          <t>None declared</t>
        </is>
      </c>
      <c r="L137" s="9" t="inlineStr">
        <is>
          <t>Pipeline run identifier</t>
        </is>
      </c>
      <c r="M137" s="9" t="inlineStr">
        <is>
          <t>Databricks Job run id</t>
        </is>
      </c>
      <c r="N137" s="9" t="inlineStr">
        <is>
          <t>Passed to task and persisted</t>
        </is>
      </c>
      <c r="O137" s="9" t="inlineStr">
        <is>
          <t>Required for lineage where source available</t>
        </is>
      </c>
      <c r="P137" s="9" t="inlineStr">
        <is>
          <t>No physical PK/partition/clustering</t>
        </is>
      </c>
      <c r="Q137" s="9" t="inlineStr">
        <is>
          <t>Insert-once MERGE reject history</t>
        </is>
      </c>
      <c r="R137" s="9" t="inlineStr">
        <is>
          <t>database/tables/silver/trades_rejects.sql</t>
        </is>
      </c>
    </row>
    <row r="138" ht="34" customHeight="1">
      <c r="A138" s="8" t="inlineStr">
        <is>
          <t>cibc</t>
        </is>
      </c>
      <c r="B138" s="8" t="inlineStr">
        <is>
          <t>silver</t>
        </is>
      </c>
      <c r="C138" s="8" t="inlineStr">
        <is>
          <t>trades_rejects</t>
        </is>
      </c>
      <c r="D138" s="8" t="inlineStr">
        <is>
          <t>Trade data-quality and version rejects</t>
        </is>
      </c>
      <c r="E138" s="8" t="inlineStr">
        <is>
          <t>One rejected raw record/reason history row</t>
        </is>
      </c>
      <c r="F138" s="8" t="inlineStr">
        <is>
          <t>Logical reject key from business columns + source file + reason</t>
        </is>
      </c>
      <c r="G138" s="8" t="inlineStr">
        <is>
          <t>rejection_reason</t>
        </is>
      </c>
      <c r="H138" s="8" t="inlineStr">
        <is>
          <t>STRING</t>
        </is>
      </c>
      <c r="I138" s="8" t="inlineStr">
        <is>
          <t>N/A</t>
        </is>
      </c>
      <c r="J138" s="8" t="inlineStr">
        <is>
          <t>Yes</t>
        </is>
      </c>
      <c r="K138" s="8" t="inlineStr">
        <is>
          <t>None declared</t>
        </is>
      </c>
      <c r="L138" s="8" t="inlineStr">
        <is>
          <t>One or more validation/reconciliation reason codes</t>
        </is>
      </c>
      <c r="M138" s="8" t="inlineStr">
        <is>
          <t>Silver validation</t>
        </is>
      </c>
      <c r="N138" s="8" t="inlineStr">
        <is>
          <t>Pipe-separated rule names</t>
        </is>
      </c>
      <c r="O138" s="8" t="inlineStr">
        <is>
          <t>Required for reject record</t>
        </is>
      </c>
      <c r="P138" s="8" t="inlineStr">
        <is>
          <t>No physical PK/partition/clustering</t>
        </is>
      </c>
      <c r="Q138" s="8" t="inlineStr">
        <is>
          <t>Insert-once MERGE reject history</t>
        </is>
      </c>
      <c r="R138" s="8" t="inlineStr">
        <is>
          <t>database/tables/silver/trades_rejects.sql</t>
        </is>
      </c>
    </row>
    <row r="139" ht="34" customHeight="1">
      <c r="A139" s="9" t="inlineStr">
        <is>
          <t>cibc</t>
        </is>
      </c>
      <c r="B139" s="9" t="inlineStr">
        <is>
          <t>silver</t>
        </is>
      </c>
      <c r="C139" s="9" t="inlineStr">
        <is>
          <t>trades_rejects</t>
        </is>
      </c>
      <c r="D139" s="9" t="inlineStr">
        <is>
          <t>Trade data-quality and version rejects</t>
        </is>
      </c>
      <c r="E139" s="9" t="inlineStr">
        <is>
          <t>One rejected raw record/reason history row</t>
        </is>
      </c>
      <c r="F139" s="9" t="inlineStr">
        <is>
          <t>Logical reject key from business columns + source file + reason</t>
        </is>
      </c>
      <c r="G139" s="9" t="inlineStr">
        <is>
          <t>rejected_at</t>
        </is>
      </c>
      <c r="H139" s="9" t="inlineStr">
        <is>
          <t>TIMESTAMP</t>
        </is>
      </c>
      <c r="I139" s="9" t="inlineStr">
        <is>
          <t>N/A</t>
        </is>
      </c>
      <c r="J139" s="9" t="inlineStr">
        <is>
          <t>Yes</t>
        </is>
      </c>
      <c r="K139" s="9" t="inlineStr">
        <is>
          <t>None declared</t>
        </is>
      </c>
      <c r="L139" s="9" t="inlineStr">
        <is>
          <t>Reject capture timestamp</t>
        </is>
      </c>
      <c r="M139" s="9" t="inlineStr">
        <is>
          <t>Silver processor runtime</t>
        </is>
      </c>
      <c r="N139" s="9" t="inlineStr">
        <is>
          <t>current_timestamp</t>
        </is>
      </c>
      <c r="O139" s="9" t="inlineStr">
        <is>
          <t>Required for reject record</t>
        </is>
      </c>
      <c r="P139" s="9" t="inlineStr">
        <is>
          <t>No physical PK/partition/clustering</t>
        </is>
      </c>
      <c r="Q139" s="9" t="inlineStr">
        <is>
          <t>Insert-once MERGE reject history</t>
        </is>
      </c>
      <c r="R139" s="9" t="inlineStr">
        <is>
          <t>database/tables/silver/trades_rejects.sql</t>
        </is>
      </c>
    </row>
  </sheetData>
  <autoFilter ref="A1:R139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6" customWidth="1" min="3" max="3"/>
    <col width="18" customWidth="1" min="4" max="4"/>
    <col width="86" customWidth="1" min="5" max="5"/>
  </cols>
  <sheetData>
    <row r="1" ht="34" customHeight="1">
      <c r="A1" s="7" t="inlineStr">
        <is>
          <t>Planning ID</t>
        </is>
      </c>
      <c r="B1" s="7" t="inlineStr">
        <is>
          <t>Epic name</t>
        </is>
      </c>
      <c r="C1" s="7" t="inlineStr">
        <is>
          <t>Priority</t>
        </is>
      </c>
      <c r="D1" s="7" t="inlineStr">
        <is>
          <t>Jira status</t>
        </is>
      </c>
      <c r="E1" s="7" t="inlineStr">
        <is>
          <t>Scope note</t>
        </is>
      </c>
    </row>
    <row r="2" ht="34" customHeight="1">
      <c r="A2" s="8" t="inlineStr">
        <is>
          <t>TMP-EP01</t>
        </is>
      </c>
      <c r="B2" s="8" t="inlineStr">
        <is>
          <t>Project Initiation and Business Analysis</t>
        </is>
      </c>
      <c r="C2" s="8" t="inlineStr">
        <is>
          <t>High</t>
        </is>
      </c>
      <c r="D2" s="8" t="inlineStr">
        <is>
          <t>To Do</t>
        </is>
      </c>
      <c r="E2" s="8" t="inlineStr">
        <is>
          <t>Planning epic; mixed current-state evidence and target backlog. See linked story implementation status.</t>
        </is>
      </c>
    </row>
    <row r="3" ht="34" customHeight="1">
      <c r="A3" s="9" t="inlineStr">
        <is>
          <t>TMP-EP02</t>
        </is>
      </c>
      <c r="B3" s="9" t="inlineStr">
        <is>
          <t>Requirements and Acceptance Criteria</t>
        </is>
      </c>
      <c r="C3" s="9" t="inlineStr">
        <is>
          <t>High</t>
        </is>
      </c>
      <c r="D3" s="9" t="inlineStr">
        <is>
          <t>To Do</t>
        </is>
      </c>
      <c r="E3" s="9" t="inlineStr">
        <is>
          <t>Planning epic; mixed current-state evidence and target backlog. See linked story implementation status.</t>
        </is>
      </c>
    </row>
    <row r="4" ht="34" customHeight="1">
      <c r="A4" s="8" t="inlineStr">
        <is>
          <t>TMP-EP03</t>
        </is>
      </c>
      <c r="B4" s="8" t="inlineStr">
        <is>
          <t>Solution Architecture and Technical Design</t>
        </is>
      </c>
      <c r="C4" s="8" t="inlineStr">
        <is>
          <t>High</t>
        </is>
      </c>
      <c r="D4" s="8" t="inlineStr">
        <is>
          <t>To Do</t>
        </is>
      </c>
      <c r="E4" s="8" t="inlineStr">
        <is>
          <t>Planning epic; mixed current-state evidence and target backlog. See linked story implementation status.</t>
        </is>
      </c>
    </row>
    <row r="5" ht="34" customHeight="1">
      <c r="A5" s="9" t="inlineStr">
        <is>
          <t>TMP-EP04</t>
        </is>
      </c>
      <c r="B5" s="9" t="inlineStr">
        <is>
          <t>Data Sourcing and Data Modelling</t>
        </is>
      </c>
      <c r="C5" s="9" t="inlineStr">
        <is>
          <t>High</t>
        </is>
      </c>
      <c r="D5" s="9" t="inlineStr">
        <is>
          <t>To Do</t>
        </is>
      </c>
      <c r="E5" s="9" t="inlineStr">
        <is>
          <t>Planning epic; mixed current-state evidence and target backlog. See linked story implementation status.</t>
        </is>
      </c>
    </row>
    <row r="6" ht="34" customHeight="1">
      <c r="A6" s="8" t="inlineStr">
        <is>
          <t>TMP-EP05</t>
        </is>
      </c>
      <c r="B6" s="8" t="inlineStr">
        <is>
          <t>Platform Setup and CI/CD</t>
        </is>
      </c>
      <c r="C6" s="8" t="inlineStr">
        <is>
          <t>High</t>
        </is>
      </c>
      <c r="D6" s="8" t="inlineStr">
        <is>
          <t>To Do</t>
        </is>
      </c>
      <c r="E6" s="8" t="inlineStr">
        <is>
          <t>Planning epic; mixed current-state evidence and target backlog. See linked story implementation status.</t>
        </is>
      </c>
    </row>
    <row r="7" ht="34" customHeight="1">
      <c r="A7" s="9" t="inlineStr">
        <is>
          <t>TMP-EP06</t>
        </is>
      </c>
      <c r="B7" s="9" t="inlineStr">
        <is>
          <t>Trade Data Ingestion</t>
        </is>
      </c>
      <c r="C7" s="9" t="inlineStr">
        <is>
          <t>High</t>
        </is>
      </c>
      <c r="D7" s="9" t="inlineStr">
        <is>
          <t>To Do</t>
        </is>
      </c>
      <c r="E7" s="9" t="inlineStr">
        <is>
          <t>Planning epic; mixed current-state evidence and target backlog. See linked story implementation status.</t>
        </is>
      </c>
    </row>
    <row r="8" ht="34" customHeight="1">
      <c r="A8" s="8" t="inlineStr">
        <is>
          <t>TMP-EP07</t>
        </is>
      </c>
      <c r="B8" s="8" t="inlineStr">
        <is>
          <t>Market Price Ingestion</t>
        </is>
      </c>
      <c r="C8" s="8" t="inlineStr">
        <is>
          <t>High</t>
        </is>
      </c>
      <c r="D8" s="8" t="inlineStr">
        <is>
          <t>To Do</t>
        </is>
      </c>
      <c r="E8" s="8" t="inlineStr">
        <is>
          <t>Planning epic; mixed current-state evidence and target backlog. See linked story implementation status.</t>
        </is>
      </c>
    </row>
    <row r="9" ht="34" customHeight="1">
      <c r="A9" s="9" t="inlineStr">
        <is>
          <t>TMP-EP08</t>
        </is>
      </c>
      <c r="B9" s="9" t="inlineStr">
        <is>
          <t>Silver Data Processing</t>
        </is>
      </c>
      <c r="C9" s="9" t="inlineStr">
        <is>
          <t>High</t>
        </is>
      </c>
      <c r="D9" s="9" t="inlineStr">
        <is>
          <t>To Do</t>
        </is>
      </c>
      <c r="E9" s="9" t="inlineStr">
        <is>
          <t>Planning epic; mixed current-state evidence and target backlog. See linked story implementation status.</t>
        </is>
      </c>
    </row>
    <row r="10" ht="34" customHeight="1">
      <c r="A10" s="8" t="inlineStr">
        <is>
          <t>TMP-EP09</t>
        </is>
      </c>
      <c r="B10" s="8" t="inlineStr">
        <is>
          <t>Position Calculation</t>
        </is>
      </c>
      <c r="C10" s="8" t="inlineStr">
        <is>
          <t>High</t>
        </is>
      </c>
      <c r="D10" s="8" t="inlineStr">
        <is>
          <t>To Do</t>
        </is>
      </c>
      <c r="E10" s="8" t="inlineStr">
        <is>
          <t>Planning epic; mixed current-state evidence and target backlog. See linked story implementation status.</t>
        </is>
      </c>
    </row>
    <row r="11" ht="34" customHeight="1">
      <c r="A11" s="9" t="inlineStr">
        <is>
          <t>TMP-EP10</t>
        </is>
      </c>
      <c r="B11" s="9" t="inlineStr">
        <is>
          <t>P&amp;L Calculation</t>
        </is>
      </c>
      <c r="C11" s="9" t="inlineStr">
        <is>
          <t>High</t>
        </is>
      </c>
      <c r="D11" s="9" t="inlineStr">
        <is>
          <t>To Do</t>
        </is>
      </c>
      <c r="E11" s="9" t="inlineStr">
        <is>
          <t>Planning epic; mixed current-state evidence and target backlog. See linked story implementation status.</t>
        </is>
      </c>
    </row>
    <row r="12" ht="34" customHeight="1">
      <c r="A12" s="8" t="inlineStr">
        <is>
          <t>TMP-EP11</t>
        </is>
      </c>
      <c r="B12" s="8" t="inlineStr">
        <is>
          <t>Reporting and Dashboard</t>
        </is>
      </c>
      <c r="C12" s="8" t="inlineStr">
        <is>
          <t>Medium</t>
        </is>
      </c>
      <c r="D12" s="8" t="inlineStr">
        <is>
          <t>To Do</t>
        </is>
      </c>
      <c r="E12" s="8" t="inlineStr">
        <is>
          <t>Planning epic; mixed current-state evidence and target backlog. See linked story implementation status.</t>
        </is>
      </c>
    </row>
    <row r="13" ht="34" customHeight="1">
      <c r="A13" s="9" t="inlineStr">
        <is>
          <t>TMP-EP12</t>
        </is>
      </c>
      <c r="B13" s="9" t="inlineStr">
        <is>
          <t>Testing and Reconciliation</t>
        </is>
      </c>
      <c r="C13" s="9" t="inlineStr">
        <is>
          <t>High</t>
        </is>
      </c>
      <c r="D13" s="9" t="inlineStr">
        <is>
          <t>To Do</t>
        </is>
      </c>
      <c r="E13" s="9" t="inlineStr">
        <is>
          <t>Planning epic; mixed current-state evidence and target backlog. See linked story implementation status.</t>
        </is>
      </c>
    </row>
    <row r="14" ht="34" customHeight="1">
      <c r="A14" s="8" t="inlineStr">
        <is>
          <t>TMP-EP13</t>
        </is>
      </c>
      <c r="B14" s="8" t="inlineStr">
        <is>
          <t>Deployment, Monitoring and Handover</t>
        </is>
      </c>
      <c r="C14" s="8" t="inlineStr">
        <is>
          <t>High</t>
        </is>
      </c>
      <c r="D14" s="8" t="inlineStr">
        <is>
          <t>To Do</t>
        </is>
      </c>
      <c r="E14" s="8" t="inlineStr">
        <is>
          <t>Planning epic; mixed current-state evidence and target backlog. See linked story implementation status.</t>
        </is>
      </c>
    </row>
  </sheetData>
  <autoFilter ref="A1:E14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  <col width="54" customWidth="1" min="4" max="4"/>
    <col width="68" customWidth="1" min="5" max="5"/>
    <col width="84" customWidth="1" min="6" max="6"/>
    <col width="14" customWidth="1" min="7" max="7"/>
    <col width="15" customWidth="1" min="8" max="8"/>
    <col width="24" customWidth="1" min="9" max="9"/>
    <col width="16" customWidth="1" min="10" max="10"/>
    <col width="34" customWidth="1" min="11" max="11"/>
    <col width="42" customWidth="1" min="12" max="12"/>
    <col width="38" customWidth="1" min="13" max="13"/>
    <col width="42" customWidth="1" min="14" max="14"/>
    <col width="44" customWidth="1" min="15" max="15"/>
  </cols>
  <sheetData>
    <row r="1" ht="34" customHeight="1">
      <c r="A1" s="7" t="inlineStr">
        <is>
          <t>Planning ID</t>
        </is>
      </c>
      <c r="B1" s="7" t="inlineStr">
        <is>
          <t>Epic ID</t>
        </is>
      </c>
      <c r="C1" s="7" t="inlineStr">
        <is>
          <t>Story title</t>
        </is>
      </c>
      <c r="D1" s="7" t="inlineStr">
        <is>
          <t>User story / objective</t>
        </is>
      </c>
      <c r="E1" s="7" t="inlineStr">
        <is>
          <t>Detailed description</t>
        </is>
      </c>
      <c r="F1" s="7" t="inlineStr">
        <is>
          <t>Acceptance criteria</t>
        </is>
      </c>
      <c r="G1" s="7" t="inlineStr">
        <is>
          <t>Story points</t>
        </is>
      </c>
      <c r="H1" s="7" t="inlineStr">
        <is>
          <t>Priority</t>
        </is>
      </c>
      <c r="I1" s="7" t="inlineStr">
        <is>
          <t>Implementation status</t>
        </is>
      </c>
      <c r="J1" s="7" t="inlineStr">
        <is>
          <t>Sprint</t>
        </is>
      </c>
      <c r="K1" s="7" t="inlineStr">
        <is>
          <t>BR IDs</t>
        </is>
      </c>
      <c r="L1" s="7" t="inlineStr">
        <is>
          <t>FR IDs</t>
        </is>
      </c>
      <c r="M1" s="7" t="inlineStr">
        <is>
          <t>Predecessor stories</t>
        </is>
      </c>
      <c r="N1" s="7" t="inlineStr">
        <is>
          <t>Required inputs</t>
        </is>
      </c>
      <c r="O1" s="7" t="inlineStr">
        <is>
          <t>Expected outputs</t>
        </is>
      </c>
    </row>
    <row r="2" ht="34" customHeight="1">
      <c r="A2" s="8" t="inlineStr">
        <is>
          <t>TMP-001</t>
        </is>
      </c>
      <c r="B2" s="8" t="inlineStr">
        <is>
          <t>TMP-EP01</t>
        </is>
      </c>
      <c r="C2" s="8" t="inlineStr">
        <is>
          <t>Baseline current implementation and confirm scope</t>
        </is>
      </c>
      <c r="D2" s="8" t="inlineStr">
        <is>
          <t>Record verified capabilities, limitations, stakeholders, assumptions, and prototype-versus-production boundaries.</t>
        </is>
      </c>
      <c r="E2" s="8" t="inlineStr">
        <is>
          <t>Use repository modules, DDL, tests, Bundle, and dated run evidence to approve the first scope baseline. Do not describe proposed controls as deployed.</t>
        </is>
      </c>
      <c r="F2" s="8" t="inlineStr">
        <is>
          <t>Inventory covers all six workflow tasks, 10 physical tables, two notebooks, Bundle targets, and test evidence.; Every capability is labelled implemented, partial, planned, or to be confirmed with a repository evidence reference.; Business owner confirms prototype scope and named decision owners before Sprint 2 exit.</t>
        </is>
      </c>
      <c r="G2" s="8" t="n">
        <v>2</v>
      </c>
      <c r="H2" s="8" t="inlineStr">
        <is>
          <t>High</t>
        </is>
      </c>
      <c r="I2" s="8" t="inlineStr">
        <is>
          <t>PARTIALLY IMPLEMENTED</t>
        </is>
      </c>
      <c r="J2" s="8" t="inlineStr">
        <is>
          <t>Sprint 1</t>
        </is>
      </c>
      <c r="K2" s="8" t="inlineStr">
        <is>
          <t>BR-001; BR-008</t>
        </is>
      </c>
      <c r="L2" s="8" t="inlineStr">
        <is>
          <t>FR-012</t>
        </is>
      </c>
      <c r="M2" s="8" t="inlineStr"/>
      <c r="N2" s="8" t="inlineStr">
        <is>
          <t>Repository; product/operations contacts</t>
        </is>
      </c>
      <c r="O2" s="8" t="inlineStr">
        <is>
          <t>Approved scope and implementation inventory</t>
        </is>
      </c>
    </row>
    <row r="3" ht="34" customHeight="1">
      <c r="A3" s="9" t="inlineStr">
        <is>
          <t>TMP-002</t>
        </is>
      </c>
      <c r="B3" s="9" t="inlineStr">
        <is>
          <t>TMP-EP02</t>
        </is>
      </c>
      <c r="C3" s="9" t="inlineStr">
        <is>
          <t>Approve business and functional requirements</t>
        </is>
      </c>
      <c r="D3" s="9" t="inlineStr">
        <is>
          <t>Turn current capabilities and business needs into testable BR/FR acceptance criteria.</t>
        </is>
      </c>
      <c r="E3" s="9" t="inlineStr">
        <is>
          <t>Confirm user roles, daily business outputs, timing, correction semantics, report needs, and sign-off owners. Link BR-001..008 to FR-001..013.</t>
        </is>
      </c>
      <c r="F3" s="9" t="inlineStr">
        <is>
          <t>All eight business requirements have an owner, priority, acceptance evidence, and dependency.; All 13 functional requirements identify input, processing, output, business rule, and failure behavior.; Product owner records decisions or explicit TBDs; no unsupported policy is silently assumed.</t>
        </is>
      </c>
      <c r="G3" s="9" t="n">
        <v>3</v>
      </c>
      <c r="H3" s="9" t="inlineStr">
        <is>
          <t>High</t>
        </is>
      </c>
      <c r="I3" s="9" t="inlineStr">
        <is>
          <t>PLANNED</t>
        </is>
      </c>
      <c r="J3" s="9" t="inlineStr">
        <is>
          <t>Sprint 1</t>
        </is>
      </c>
      <c r="K3" s="9" t="inlineStr">
        <is>
          <t>BR-001; BR-002; BR-003; BR-004; BR-005; BR-006; BR-007; BR-008</t>
        </is>
      </c>
      <c r="L3" s="9" t="inlineStr">
        <is>
          <t>FR-001; FR-002; FR-003; FR-004; FR-005; FR-006; FR-007; FR-008; FR-009; FR-010; FR-011; FR-012; FR-013</t>
        </is>
      </c>
      <c r="M3" s="9" t="inlineStr">
        <is>
          <t>TMP-001</t>
        </is>
      </c>
      <c r="N3" s="9" t="inlineStr">
        <is>
          <t>Implementation inventory; business/operations interviews</t>
        </is>
      </c>
      <c r="O3" s="9" t="inlineStr">
        <is>
          <t>Signed requirements and acceptance criteria</t>
        </is>
      </c>
    </row>
    <row r="4" ht="34" customHeight="1">
      <c r="A4" s="8" t="inlineStr">
        <is>
          <t>TMP-003</t>
        </is>
      </c>
      <c r="B4" s="8" t="inlineStr">
        <is>
          <t>TMP-EP02</t>
        </is>
      </c>
      <c r="C4" s="8" t="inlineStr">
        <is>
          <t>Set measurable non-functional and operational targets</t>
        </is>
      </c>
      <c r="D4" s="8" t="inlineStr">
        <is>
          <t>Agree performance, availability, support, security, retention, RTO/RPO, and recovery targets.</t>
        </is>
      </c>
      <c r="E4" s="8" t="inlineStr">
        <is>
          <t>Use proposed thresholds as discussion points only. Confirm owner, measurement window, and evidence for each target.</t>
        </is>
      </c>
      <c r="F4" s="8" t="inlineStr">
        <is>
          <t>NFR-01..10 each has a confirmed target or named owner and due date for TBD.; Performance baseline includes representative row counts, symbols, runtime, and cost.; Retention, access classification, RTO/RPO, support hours, and alert response are approved or explicitly excluded from prototype.</t>
        </is>
      </c>
      <c r="G4" s="8" t="n">
        <v>2</v>
      </c>
      <c r="H4" s="8" t="inlineStr">
        <is>
          <t>High</t>
        </is>
      </c>
      <c r="I4" s="8" t="inlineStr">
        <is>
          <t>PLANNED</t>
        </is>
      </c>
      <c r="J4" s="8" t="inlineStr">
        <is>
          <t>Sprint 1</t>
        </is>
      </c>
      <c r="K4" s="8" t="inlineStr">
        <is>
          <t>BR-007; BR-008</t>
        </is>
      </c>
      <c r="L4" s="8" t="inlineStr">
        <is>
          <t>FR-011; FR-012; FR-013</t>
        </is>
      </c>
      <c r="M4" s="8" t="inlineStr">
        <is>
          <t>TMP-002</t>
        </is>
      </c>
      <c r="N4" s="8" t="inlineStr">
        <is>
          <t>Business/technology policy owners; proposed NFRs</t>
        </is>
      </c>
      <c r="O4" s="8" t="inlineStr">
        <is>
          <t>Approved NFR baseline</t>
        </is>
      </c>
    </row>
    <row r="5" ht="34" customHeight="1">
      <c r="A5" s="9" t="inlineStr">
        <is>
          <t>TMP-004</t>
        </is>
      </c>
      <c r="B5" s="9" t="inlineStr">
        <is>
          <t>TMP-EP03</t>
        </is>
      </c>
      <c r="C5" s="9" t="inlineStr">
        <is>
          <t>Document and validate existing solution architecture</t>
        </is>
      </c>
      <c r="D5" s="9" t="inlineStr">
        <is>
          <t>Establish an evidence-backed architecture baseline and component responsibilities.</t>
        </is>
      </c>
      <c r="E5" s="9" t="inlineStr">
        <is>
          <t>Document Unity Catalog, Delta layers, Python wheel, Job, notebooks, audit/rejects, and current deployment path.</t>
        </is>
      </c>
      <c r="F5" s="9" t="inlineStr">
        <is>
          <t>Current architecture matches databricks.yml, job YAML, source modules, and DDL.; Trade/price parallel branches and join dependencies are accurate.; Current provider, paused schedule, dev-only target, and notebook reporting are labelled as implemented/current limitations.</t>
        </is>
      </c>
      <c r="G5" s="9" t="n">
        <v>3</v>
      </c>
      <c r="H5" s="9" t="inlineStr">
        <is>
          <t>High</t>
        </is>
      </c>
      <c r="I5" s="9" t="inlineStr">
        <is>
          <t>IMPLEMENTED</t>
        </is>
      </c>
      <c r="J5" s="9" t="inlineStr"/>
      <c r="K5" s="9" t="inlineStr">
        <is>
          <t>BR-001; BR-002; BR-004; BR-005; BR-007; BR-008</t>
        </is>
      </c>
      <c r="L5" s="9" t="inlineStr">
        <is>
          <t>FR-006; FR-008; FR-011; FR-012</t>
        </is>
      </c>
      <c r="M5" s="9" t="inlineStr"/>
      <c r="N5" s="9" t="inlineStr">
        <is>
          <t>Repository implementation</t>
        </is>
      </c>
      <c r="O5" s="9" t="inlineStr">
        <is>
          <t>Current-state architecture</t>
        </is>
      </c>
    </row>
    <row r="6" ht="34" customHeight="1">
      <c r="A6" s="8" t="inlineStr">
        <is>
          <t>TMP-005</t>
        </is>
      </c>
      <c r="B6" s="8" t="inlineStr">
        <is>
          <t>TMP-EP03</t>
        </is>
      </c>
      <c r="C6" s="8" t="inlineStr">
        <is>
          <t>Approve target security and environment architecture</t>
        </is>
      </c>
      <c r="D6" s="8" t="inlineStr">
        <is>
          <t>Define deployable dev/test/prod boundaries and least-privilege runtime identity.</t>
        </is>
      </c>
      <c r="E6" s="8" t="inlineStr">
        <is>
          <t>Design only what is supported by actual workspace controls; confirm environment availability, principals, grants, networking, and secrets approach.</t>
        </is>
      </c>
      <c r="F6" s="8" t="inlineStr">
        <is>
          <t>Environment promotion and job identity are approved by platform owner.; Unity Catalog grants cover required schemas and Volume only; no secrets are committed.; Architecture labels all unprovisioned targets and controls as proposed.</t>
        </is>
      </c>
      <c r="G6" s="8" t="n">
        <v>3</v>
      </c>
      <c r="H6" s="8" t="inlineStr">
        <is>
          <t>High</t>
        </is>
      </c>
      <c r="I6" s="8" t="inlineStr">
        <is>
          <t>PLANNED</t>
        </is>
      </c>
      <c r="J6" s="8" t="inlineStr">
        <is>
          <t>Sprint 1</t>
        </is>
      </c>
      <c r="K6" s="8" t="inlineStr">
        <is>
          <t>BR-007; BR-008</t>
        </is>
      </c>
      <c r="L6" s="8" t="inlineStr">
        <is>
          <t>FR-011; FR-012</t>
        </is>
      </c>
      <c r="M6" s="8" t="inlineStr">
        <is>
          <t>TMP-002; TMP-003; TMP-004</t>
        </is>
      </c>
      <c r="N6" s="8" t="inlineStr">
        <is>
          <t>Workspace/platform/security owner decisions</t>
        </is>
      </c>
      <c r="O6" s="8" t="inlineStr">
        <is>
          <t>Approved environment and access design</t>
        </is>
      </c>
    </row>
    <row r="7" ht="34" customHeight="1">
      <c r="A7" s="9" t="inlineStr">
        <is>
          <t>TMP-006</t>
        </is>
      </c>
      <c r="B7" s="9" t="inlineStr">
        <is>
          <t>TMP-EP04</t>
        </is>
      </c>
      <c r="C7" s="9" t="inlineStr">
        <is>
          <t>Confirm trade source contract and snapshot semantics</t>
        </is>
      </c>
      <c r="D7" s="9" t="inlineStr">
        <is>
          <t>Make source ownership, completeness, corrections, and deletion semantics explicit.</t>
        </is>
      </c>
      <c r="E7" s="9" t="inlineStr">
        <is>
          <t>Current input is synthetic; define the future producer contract and safe transition from full snapshot to an authoritative feed.</t>
        </is>
      </c>
      <c r="F7" s="9" t="inlineStr">
        <is>
          <t>Trade source owner, file schema, delivery cutoff, completeness marker, and correction/deletion semantics are recorded.; A missing trade in a later snapshot is not treated as a cancellation without explicit business rule.; Sample volume, retention, privacy classification, and replay window are approved or tracked as TBD.</t>
        </is>
      </c>
      <c r="G7" s="9" t="n">
        <v>2</v>
      </c>
      <c r="H7" s="9" t="inlineStr">
        <is>
          <t>High</t>
        </is>
      </c>
      <c r="I7" s="9" t="inlineStr">
        <is>
          <t>PARTIALLY IMPLEMENTED</t>
        </is>
      </c>
      <c r="J7" s="9" t="inlineStr"/>
      <c r="K7" s="9" t="inlineStr">
        <is>
          <t>BR-001; BR-003</t>
        </is>
      </c>
      <c r="L7" s="9" t="inlineStr">
        <is>
          <t>FR-001; FR-004; FR-009</t>
        </is>
      </c>
      <c r="M7" s="9" t="inlineStr"/>
      <c r="N7" s="9" t="inlineStr">
        <is>
          <t>Synthetic CSV; trade owner</t>
        </is>
      </c>
      <c r="O7" s="9" t="inlineStr">
        <is>
          <t>Trade source specification</t>
        </is>
      </c>
    </row>
    <row r="8" ht="34" customHeight="1">
      <c r="A8" s="8" t="inlineStr">
        <is>
          <t>TMP-007</t>
        </is>
      </c>
      <c r="B8" s="8" t="inlineStr">
        <is>
          <t>TMP-EP04</t>
        </is>
      </c>
      <c r="C8" s="8" t="inlineStr">
        <is>
          <t>Select and approve market-data source</t>
        </is>
      </c>
      <c r="D8" s="8" t="inlineStr">
        <is>
          <t>Resolve whether Yahoo Finance is acceptable for the prototype and choose a licensed production source.</t>
        </is>
      </c>
      <c r="E8" s="8" t="inlineStr">
        <is>
          <t>Confirm price type, currency, adjustments, symbol universe, rights, correction policy, availability, and missing-price escalation; synthetic fixtures are acceptable for deterministic tests only.</t>
        </is>
      </c>
      <c r="F8" s="8" t="inlineStr">
        <is>
          <t>Provider and business owner approve data rights and use case before production.; Price-date/price-type/currency contract and correction policy are documented.; Daily availability and expected-session completeness thresholds have named owners.</t>
        </is>
      </c>
      <c r="G8" s="8" t="n">
        <v>3</v>
      </c>
      <c r="H8" s="8" t="inlineStr">
        <is>
          <t>High</t>
        </is>
      </c>
      <c r="I8" s="8" t="inlineStr">
        <is>
          <t>PLANNED</t>
        </is>
      </c>
      <c r="J8" s="8" t="inlineStr">
        <is>
          <t>Sprint 2</t>
        </is>
      </c>
      <c r="K8" s="8" t="inlineStr">
        <is>
          <t>BR-002; BR-005</t>
        </is>
      </c>
      <c r="L8" s="8" t="inlineStr">
        <is>
          <t>FR-002; FR-005; FR-007; FR-008</t>
        </is>
      </c>
      <c r="M8" s="8" t="inlineStr">
        <is>
          <t>TMP-002</t>
        </is>
      </c>
      <c r="N8" s="8" t="inlineStr">
        <is>
          <t>Current yfinance adapter; market-data owner</t>
        </is>
      </c>
      <c r="O8" s="8" t="inlineStr">
        <is>
          <t>Approved source decision and interface contract</t>
        </is>
      </c>
    </row>
    <row r="9" ht="34" customHeight="1">
      <c r="A9" s="9" t="inlineStr">
        <is>
          <t>TMP-008</t>
        </is>
      </c>
      <c r="B9" s="9" t="inlineStr">
        <is>
          <t>TMP-EP04</t>
        </is>
      </c>
      <c r="C9" s="9" t="inlineStr">
        <is>
          <t>Approve physical data dictionary and retention model</t>
        </is>
      </c>
      <c r="D9" s="9" t="inlineStr">
        <is>
          <t>Review all current table grains, keys, financial types, lineage, and future retention needs.</t>
        </is>
      </c>
      <c r="E9" s="9" t="inlineStr">
        <is>
          <t>Use the 10 physical DDL files as current-state truth; identify no enforced primary keys and no dedicated reference/reporting tables.</t>
        </is>
      </c>
      <c r="F9" s="9" t="inlineStr">
        <is>
          <t>Data dictionary lists every column and exact DDL type/nullability for all 10 tables.; Business owner approves table grain and logical key assumptions.; Partitioning/clustering remains absent unless measured query patterns justify it.; Retention and Delta cleanup policy are approved before any production purge/optimization.</t>
        </is>
      </c>
      <c r="G9" s="9" t="n">
        <v>2</v>
      </c>
      <c r="H9" s="9" t="inlineStr">
        <is>
          <t>High</t>
        </is>
      </c>
      <c r="I9" s="9" t="inlineStr">
        <is>
          <t>PARTIALLY IMPLEMENTED</t>
        </is>
      </c>
      <c r="J9" s="9" t="inlineStr">
        <is>
          <t>Sprint 2</t>
        </is>
      </c>
      <c r="K9" s="9" t="inlineStr">
        <is>
          <t>BR-003; BR-004; BR-005; BR-007</t>
        </is>
      </c>
      <c r="L9" s="9" t="inlineStr">
        <is>
          <t>FR-003; FR-006; FR-007; FR-008; FR-009; FR-011</t>
        </is>
      </c>
      <c r="M9" s="9" t="inlineStr">
        <is>
          <t>TMP-006; TMP-007</t>
        </is>
      </c>
      <c r="N9" s="9" t="inlineStr">
        <is>
          <t>database/tables DDL; provider/trade contracts</t>
        </is>
      </c>
      <c r="O9" s="9" t="inlineStr">
        <is>
          <t>Approved dictionary and data-retention decisions</t>
        </is>
      </c>
    </row>
    <row r="10" ht="34" customHeight="1">
      <c r="A10" s="8" t="inlineStr">
        <is>
          <t>TMP-009</t>
        </is>
      </c>
      <c r="B10" s="8" t="inlineStr">
        <is>
          <t>TMP-EP05</t>
        </is>
      </c>
      <c r="C10" s="8" t="inlineStr">
        <is>
          <t>Maintain reproducible Databricks Asset Bundle development deployment</t>
        </is>
      </c>
      <c r="D10" s="8" t="inlineStr">
        <is>
          <t>Validate current development Bundle build and deploy path.</t>
        </is>
      </c>
      <c r="E10" s="8" t="inlineStr">
        <is>
          <t>Bundle builds a wheel and deploys the six-task job/notebooks to the dev target; schedule remains paused by configuration.</t>
        </is>
      </c>
      <c r="F10" s="8" t="inlineStr">
        <is>
          <t>Bundle validation succeeds with the documented dev target and CLI profile.; Wheel contains all six entry points and deploy uses repository source.; Manual smoke run evidence is attached; no production readiness is inferred.</t>
        </is>
      </c>
      <c r="G10" s="8" t="n">
        <v>3</v>
      </c>
      <c r="H10" s="8" t="inlineStr">
        <is>
          <t>High</t>
        </is>
      </c>
      <c r="I10" s="8" t="inlineStr">
        <is>
          <t>IMPLEMENTED</t>
        </is>
      </c>
      <c r="J10" s="8" t="inlineStr"/>
      <c r="K10" s="8" t="inlineStr">
        <is>
          <t>BR-008</t>
        </is>
      </c>
      <c r="L10" s="8" t="inlineStr">
        <is>
          <t>FR-012</t>
        </is>
      </c>
      <c r="M10" s="8" t="inlineStr"/>
      <c r="N10" s="8" t="inlineStr">
        <is>
          <t>databricks.yml; job resource; scripts/deploy.sh</t>
        </is>
      </c>
      <c r="O10" s="8" t="inlineStr">
        <is>
          <t>Validated dev deployment procedure</t>
        </is>
      </c>
    </row>
    <row r="11" ht="34" customHeight="1">
      <c r="A11" s="9" t="inlineStr">
        <is>
          <t>TMP-010</t>
        </is>
      </c>
      <c r="B11" s="9" t="inlineStr">
        <is>
          <t>TMP-EP05</t>
        </is>
      </c>
      <c r="C11" s="9" t="inlineStr">
        <is>
          <t>Add reviewed CI checks and controlled deployment promotion</t>
        </is>
      </c>
      <c r="D11" s="9" t="inlineStr">
        <is>
          <t>Automate deterministic tests, Bundle validation, and reviewed artifact promotion.</t>
        </is>
      </c>
      <c r="E11" s="9" t="inlineStr">
        <is>
          <t>Create CI using existing pytest/package/Bundle checks; add non-dev targets only after platform provisioning and identity approval.</t>
        </is>
      </c>
      <c r="F11" s="9" t="inlineStr">
        <is>
          <t>Pull request CI runs deterministic local tests and Bundle validation without credentials in logs.; Deployment artifact/version is traceable to reviewed source revision.; Promotion cannot unpause a schedule or deploy to an unapproved target without explicit approval.</t>
        </is>
      </c>
      <c r="G11" s="9" t="n">
        <v>5</v>
      </c>
      <c r="H11" s="9" t="inlineStr">
        <is>
          <t>High</t>
        </is>
      </c>
      <c r="I11" s="9" t="inlineStr">
        <is>
          <t>PLANNED</t>
        </is>
      </c>
      <c r="J11" s="9" t="inlineStr">
        <is>
          <t>Sprint 3</t>
        </is>
      </c>
      <c r="K11" s="9" t="inlineStr">
        <is>
          <t>BR-007; BR-008</t>
        </is>
      </c>
      <c r="L11" s="9" t="inlineStr">
        <is>
          <t>FR-012; FR-013</t>
        </is>
      </c>
      <c r="M11" s="9" t="inlineStr">
        <is>
          <t>TMP-005; TMP-009</t>
        </is>
      </c>
      <c r="N11" s="9" t="inlineStr">
        <is>
          <t>Approved environment/security design; current Bundle</t>
        </is>
      </c>
      <c r="O11" s="9" t="inlineStr">
        <is>
          <t>CI workflow and controlled deploy procedure</t>
        </is>
      </c>
    </row>
    <row r="12" ht="34" customHeight="1">
      <c r="A12" s="8" t="inlineStr">
        <is>
          <t>TMP-011</t>
        </is>
      </c>
      <c r="B12" s="8" t="inlineStr">
        <is>
          <t>TMP-EP06</t>
        </is>
      </c>
      <c r="C12" s="8" t="inlineStr">
        <is>
          <t>Ingest synthetic trade snapshot into Bronze</t>
        </is>
      </c>
      <c r="D12" s="8" t="inlineStr">
        <is>
          <t>Load structurally valid trade snapshots with deterministic raw lineage.</t>
        </is>
      </c>
      <c r="E12" s="8" t="inlineStr">
        <is>
          <t>Current implementation validates the 14-field CSV and atomically overwrites Bronze after input checks.</t>
        </is>
      </c>
      <c r="F12" s="8" t="inlineStr">
        <is>
          <t>Exact schema, empty-file, and malformed-row cases are tested.; Identical in-batch records are removed; versions of a trade remain present.; Invalid file never overwrites existing Bronze; valid rerun yields same business rows.</t>
        </is>
      </c>
      <c r="G12" s="8" t="n">
        <v>5</v>
      </c>
      <c r="H12" s="8" t="inlineStr">
        <is>
          <t>High</t>
        </is>
      </c>
      <c r="I12" s="8" t="inlineStr">
        <is>
          <t>IMPLEMENTED</t>
        </is>
      </c>
      <c r="J12" s="8" t="inlineStr"/>
      <c r="K12" s="8" t="inlineStr">
        <is>
          <t>BR-001; BR-003</t>
        </is>
      </c>
      <c r="L12" s="8" t="inlineStr">
        <is>
          <t>FR-001; FR-013</t>
        </is>
      </c>
      <c r="M12" s="8" t="inlineStr">
        <is>
          <t>TMP-006</t>
        </is>
      </c>
      <c r="N12" s="8" t="inlineStr">
        <is>
          <t>CSV snapshot in UC Volume</t>
        </is>
      </c>
      <c r="O12" s="8" t="inlineStr">
        <is>
          <t>cibc.bronze.trades</t>
        </is>
      </c>
    </row>
    <row r="13" ht="34" customHeight="1">
      <c r="A13" s="9" t="inlineStr">
        <is>
          <t>TMP-012</t>
        </is>
      </c>
      <c r="B13" s="9" t="inlineStr">
        <is>
          <t>TMP-EP06</t>
        </is>
      </c>
      <c r="C13" s="9" t="inlineStr">
        <is>
          <t>Resolve trade snapshot disappearance and historical correction controls</t>
        </is>
      </c>
      <c r="D13" s="9" t="inlineStr">
        <is>
          <t>Prevent a source snapshot replacement from leaving stale or silently deleting trades.</t>
        </is>
      </c>
      <c r="E13" s="9" t="inlineStr">
        <is>
          <t>Current Bronze retains only latest snapshot and Silver does not remove trade IDs absent from a later file. Choose event/history storage or safe snapshot reconciliation.</t>
        </is>
      </c>
      <c r="F13" s="9" t="inlineStr">
        <is>
          <t>Trade owner approves semantics for missing trade IDs, cancellation, and correction.; A two-snapshot test proves accepted Silver matches the agreed authoritative source state.; Backdated corrections are traceable and recompute the intended history without unrelated deletes.</t>
        </is>
      </c>
      <c r="G13" s="9" t="n">
        <v>5</v>
      </c>
      <c r="H13" s="9" t="inlineStr">
        <is>
          <t>High</t>
        </is>
      </c>
      <c r="I13" s="9" t="inlineStr">
        <is>
          <t>PLANNED</t>
        </is>
      </c>
      <c r="J13" s="9" t="inlineStr">
        <is>
          <t>Sprint 3</t>
        </is>
      </c>
      <c r="K13" s="9" t="inlineStr">
        <is>
          <t>BR-003; BR-004; BR-005</t>
        </is>
      </c>
      <c r="L13" s="9" t="inlineStr">
        <is>
          <t>FR-004; FR-009; FR-013</t>
        </is>
      </c>
      <c r="M13" s="9" t="inlineStr">
        <is>
          <t>TMP-006; TMP-011</t>
        </is>
      </c>
      <c r="N13" s="9" t="inlineStr">
        <is>
          <t>Approved trade source semantics; current Bronze/Silver behavior</t>
        </is>
      </c>
      <c r="O13" s="9" t="inlineStr">
        <is>
          <t>Versioned history/reconciliation design and tested implementation</t>
        </is>
      </c>
    </row>
    <row r="14" ht="34" customHeight="1">
      <c r="A14" s="8" t="inlineStr">
        <is>
          <t>TMP-013</t>
        </is>
      </c>
      <c r="B14" s="8" t="inlineStr">
        <is>
          <t>TMP-EP07</t>
        </is>
      </c>
      <c r="C14" s="8" t="inlineStr">
        <is>
          <t>Ingest and retain daily market-price history</t>
        </is>
      </c>
      <c r="D14" s="8" t="inlineStr">
        <is>
          <t>Load supported daily close records with source identity and repeatable keys.</t>
        </is>
      </c>
      <c r="E14" s="8" t="inlineStr">
        <is>
          <t>Current adapter calls Yahoo Finance, stores unadjusted closes, retries transient failures, and merges Bronze on symbol/date.</t>
        </is>
      </c>
      <c r="F14" s="8" t="inlineStr">
        <is>
          <t>Default symbols, date boundaries, provider response variants, NaN, duplicate keys, and retry errors have deterministic tests.; Price rows carry source, currency, ingestion timestamp, and run lineage.; Provider limitations and data rights are explicit in the source contract.</t>
        </is>
      </c>
      <c r="G14" s="8" t="n">
        <v>5</v>
      </c>
      <c r="H14" s="8" t="inlineStr">
        <is>
          <t>High</t>
        </is>
      </c>
      <c r="I14" s="8" t="inlineStr">
        <is>
          <t>IMPLEMENTED</t>
        </is>
      </c>
      <c r="J14" s="8" t="inlineStr"/>
      <c r="K14" s="8" t="inlineStr">
        <is>
          <t>BR-002</t>
        </is>
      </c>
      <c r="L14" s="8" t="inlineStr">
        <is>
          <t>FR-002; FR-013</t>
        </is>
      </c>
      <c r="M14" s="8" t="inlineStr">
        <is>
          <t>TMP-007</t>
        </is>
      </c>
      <c r="N14" s="8" t="inlineStr">
        <is>
          <t>Daily price provider response</t>
        </is>
      </c>
      <c r="O14" s="8" t="inlineStr">
        <is>
          <t>cibc.bronze.market_prices</t>
        </is>
      </c>
    </row>
    <row r="15" ht="34" customHeight="1">
      <c r="A15" s="9" t="inlineStr">
        <is>
          <t>TMP-014</t>
        </is>
      </c>
      <c r="B15" s="9" t="inlineStr">
        <is>
          <t>TMP-EP07</t>
        </is>
      </c>
      <c r="C15" s="9" t="inlineStr">
        <is>
          <t>Harden price source decision and completeness exception process</t>
        </is>
      </c>
      <c r="D15" s="9" t="inlineStr">
        <is>
          <t>Make price completeness and manual resolution operationally actionable.</t>
        </is>
      </c>
      <c r="E15" s="9" t="inlineStr">
        <is>
          <t>Use provider choice from TMP-007; define approved synthetic fixtures for test environments and operational handling for late/missing prices.</t>
        </is>
      </c>
      <c r="F15" s="9" t="inlineStr">
        <is>
          <t>Missing expected session is tied to symbol/date and owner; no stale price is used for position valuation.; Test fixtures are deterministic and cannot be mistaken for production source data.; Approved provider/credentials, rate limits, correction policy, and retries are configured outside source code where required.</t>
        </is>
      </c>
      <c r="G15" s="9" t="n">
        <v>3</v>
      </c>
      <c r="H15" s="9" t="inlineStr">
        <is>
          <t>High</t>
        </is>
      </c>
      <c r="I15" s="9" t="inlineStr">
        <is>
          <t>PLANNED</t>
        </is>
      </c>
      <c r="J15" s="9" t="inlineStr">
        <is>
          <t>Sprint 2</t>
        </is>
      </c>
      <c r="K15" s="9" t="inlineStr">
        <is>
          <t>BR-002; BR-005; BR-007</t>
        </is>
      </c>
      <c r="L15" s="9" t="inlineStr">
        <is>
          <t>FR-002; FR-005; FR-007; FR-013</t>
        </is>
      </c>
      <c r="M15" s="9" t="inlineStr">
        <is>
          <t>TMP-007; TMP-013</t>
        </is>
      </c>
      <c r="N15" s="9" t="inlineStr">
        <is>
          <t>Approved provider decision; current completeness checks</t>
        </is>
      </c>
      <c r="O15" s="9" t="inlineStr">
        <is>
          <t>Price-source controls and exception runbook</t>
        </is>
      </c>
    </row>
    <row r="16" ht="34" customHeight="1">
      <c r="A16" s="8" t="inlineStr">
        <is>
          <t>TMP-015</t>
        </is>
      </c>
      <c r="B16" s="8" t="inlineStr">
        <is>
          <t>TMP-EP08</t>
        </is>
      </c>
      <c r="C16" s="8" t="inlineStr">
        <is>
          <t>Validate Silver trades and prices with reject history</t>
        </is>
      </c>
      <c r="D16" s="8" t="inlineStr">
        <is>
          <t>Publish typed records only after business validation and deterministic version selection.</t>
        </is>
      </c>
      <c r="E16" s="8" t="inlineStr">
        <is>
          <t>Current code performs typed conversion, configured business checks, deduplication/versioning, conditional merge, and reject-history writes.</t>
        </is>
      </c>
      <c r="F16" s="8" t="inlineStr">
        <is>
          <t>Trade and price fixtures cover configured rules and reason codes.; Silver trade business key is trade_id; price key is symbol + price_date.; Reject writes are idempotent and preserve raw source fields/lineage; missing expected price blocks Silver update.</t>
        </is>
      </c>
      <c r="G16" s="8" t="n">
        <v>5</v>
      </c>
      <c r="H16" s="8" t="inlineStr">
        <is>
          <t>High</t>
        </is>
      </c>
      <c r="I16" s="8" t="inlineStr">
        <is>
          <t>IMPLEMENTED</t>
        </is>
      </c>
      <c r="J16" s="8" t="inlineStr"/>
      <c r="K16" s="8" t="inlineStr">
        <is>
          <t>BR-003; BR-007</t>
        </is>
      </c>
      <c r="L16" s="8" t="inlineStr">
        <is>
          <t>FR-003; FR-004; FR-005; FR-013</t>
        </is>
      </c>
      <c r="M16" s="8" t="inlineStr">
        <is>
          <t>TMP-011; TMP-013</t>
        </is>
      </c>
      <c r="N16" s="8" t="inlineStr">
        <is>
          <t>Bronze trades and prices</t>
        </is>
      </c>
      <c r="O16" s="8" t="inlineStr">
        <is>
          <t>Silver validated tables and rejects</t>
        </is>
      </c>
    </row>
    <row r="17" ht="34" customHeight="1">
      <c r="A17" s="9" t="inlineStr">
        <is>
          <t>TMP-016</t>
        </is>
      </c>
      <c r="B17" s="9" t="inlineStr">
        <is>
          <t>TMP-EP08</t>
        </is>
      </c>
      <c r="C17" s="9" t="inlineStr">
        <is>
          <t>Run Spark/Delta integration and end-to-end rerun validation</t>
        </is>
      </c>
      <c r="D17" s="9" t="inlineStr">
        <is>
          <t>Prove Delta writes, constraints, lineage, recovery, and same-input idempotency in a supported runtime.</t>
        </is>
      </c>
      <c r="E17" s="9" t="inlineStr">
        <is>
          <t>Local Spark availability is not evidenced; docs/test_results.md records a successful dated pipeline run but its same-parameter second run was queued.</t>
        </is>
      </c>
      <c r="F17" s="9" t="inlineStr">
        <is>
          <t>Spark/Delta integration suite runs in a supported CI or Databricks test environment and results are retained.; A second complete run with the same inputs verifies stable business keys/values and expected audit history growth.; Failure injection confirms no unsafe publication and a documented rerun recovers the task.</t>
        </is>
      </c>
      <c r="G17" s="9" t="n">
        <v>2</v>
      </c>
      <c r="H17" s="9" t="inlineStr">
        <is>
          <t>High</t>
        </is>
      </c>
      <c r="I17" s="9" t="inlineStr">
        <is>
          <t>PLANNED</t>
        </is>
      </c>
      <c r="J17" s="9" t="inlineStr">
        <is>
          <t>Sprint 2</t>
        </is>
      </c>
      <c r="K17" s="9" t="inlineStr">
        <is>
          <t>BR-003; BR-007; BR-008</t>
        </is>
      </c>
      <c r="L17" s="9" t="inlineStr">
        <is>
          <t>FR-003; FR-005; FR-009; FR-013</t>
        </is>
      </c>
      <c r="M17" s="9" t="inlineStr">
        <is>
          <t>TMP-015</t>
        </is>
      </c>
      <c r="N17" s="9" t="inlineStr">
        <is>
          <t>Supported Spark/Delta environment; current test suite</t>
        </is>
      </c>
      <c r="O17" s="9" t="inlineStr">
        <is>
          <t>Integration, idempotency, and recovery evidence</t>
        </is>
      </c>
    </row>
    <row r="18" ht="34" customHeight="1">
      <c r="A18" s="8" t="inlineStr">
        <is>
          <t>TMP-017</t>
        </is>
      </c>
      <c r="B18" s="8" t="inlineStr">
        <is>
          <t>TMP-EP09</t>
        </is>
      </c>
      <c r="C18" s="8" t="inlineStr">
        <is>
          <t>Build cumulative daily positions and exact-date valuation</t>
        </is>
      </c>
      <c r="D18" s="8" t="inlineStr">
        <is>
          <t>Publish historical positions at the agreed book/counterparty/instrument/date grain.</t>
        </is>
      </c>
      <c r="E18" s="8" t="inlineStr">
        <is>
          <t>Current implementation aggregates signed trade quantities, carries positions across trading sessions, and joins same-day same-currency marks.</t>
        </is>
      </c>
      <c r="F18" s="8" t="inlineStr">
        <is>
          <t>Position grain and key match the approved dictionary.; Daily buys, sells, net, closing quantity, close, and market value reconcile to independent calculations.; Missing same-day price leaves price/value NULL and creates a break without changing quantity.</t>
        </is>
      </c>
      <c r="G18" s="8" t="n">
        <v>5</v>
      </c>
      <c r="H18" s="8" t="inlineStr">
        <is>
          <t>High</t>
        </is>
      </c>
      <c r="I18" s="8" t="inlineStr">
        <is>
          <t>IMPLEMENTED</t>
        </is>
      </c>
      <c r="J18" s="8" t="inlineStr"/>
      <c r="K18" s="8" t="inlineStr">
        <is>
          <t>BR-004; BR-005</t>
        </is>
      </c>
      <c r="L18" s="8" t="inlineStr">
        <is>
          <t>FR-006; FR-007; FR-009</t>
        </is>
      </c>
      <c r="M18" s="8" t="inlineStr">
        <is>
          <t>TMP-015</t>
        </is>
      </c>
      <c r="N18" s="8" t="inlineStr">
        <is>
          <t>Silver trades and prices</t>
        </is>
      </c>
      <c r="O18" s="8" t="inlineStr">
        <is>
          <t>cibc.gold.positions; position valuation breaks</t>
        </is>
      </c>
    </row>
    <row r="19" ht="34" customHeight="1">
      <c r="A19" s="9" t="inlineStr">
        <is>
          <t>TMP-018</t>
        </is>
      </c>
      <c r="B19" s="9" t="inlineStr">
        <is>
          <t>TMP-EP10</t>
        </is>
      </c>
      <c r="C19" s="9" t="inlineStr">
        <is>
          <t>Calculate daily cash-equity mark-to-market P&amp;L</t>
        </is>
      </c>
      <c r="D19" s="9" t="inlineStr">
        <is>
          <t>Separate opening position market move from trade-day economic P&amp;L.</t>
        </is>
      </c>
      <c r="E19" s="9" t="inlineStr">
        <is>
          <t>Current Gold formula uses prior close for opening inventory and signed trade consideration for intraday activity; cumulative proxy is not true unrealized P&amp;L.</t>
        </is>
      </c>
      <c r="F19" s="9" t="inlineStr">
        <is>
          <t>Daily output grain is valuation_date + book_id + symbol + currency.; Price movement and trade-day terms reconcile independently, including sells, new/flat positions, prior-close baseline, and missing prices.; unrealized_pnl_proxy is clearly labelled as a cumulative proxy and is not presented as true unrealized P&amp;L.</t>
        </is>
      </c>
      <c r="G19" s="9" t="n">
        <v>5</v>
      </c>
      <c r="H19" s="9" t="inlineStr">
        <is>
          <t>High</t>
        </is>
      </c>
      <c r="I19" s="9" t="inlineStr">
        <is>
          <t>IMPLEMENTED</t>
        </is>
      </c>
      <c r="J19" s="9" t="inlineStr"/>
      <c r="K19" s="9" t="inlineStr">
        <is>
          <t>BR-005</t>
        </is>
      </c>
      <c r="L19" s="9" t="inlineStr">
        <is>
          <t>FR-007; FR-008; FR-009</t>
        </is>
      </c>
      <c r="M19" s="9" t="inlineStr">
        <is>
          <t>TMP-017</t>
        </is>
      </c>
      <c r="N19" s="9" t="inlineStr">
        <is>
          <t>Gold positions; Silver trades/prices</t>
        </is>
      </c>
      <c r="O19" s="9" t="inlineStr">
        <is>
          <t>cibc.gold.daily_pnl; P&amp;L breaks</t>
        </is>
      </c>
    </row>
    <row r="20" ht="34" customHeight="1">
      <c r="A20" s="8" t="inlineStr">
        <is>
          <t>TMP-019</t>
        </is>
      </c>
      <c r="B20" s="8" t="inlineStr">
        <is>
          <t>TMP-EP11</t>
        </is>
      </c>
      <c r="C20" s="8" t="inlineStr">
        <is>
          <t>Provide notebook and SQL operational reporting</t>
        </is>
      </c>
      <c r="D20" s="8" t="inlineStr">
        <is>
          <t>Expose current job run, audit metrics, rejections, positions, P&amp;L, and valuation breaks.</t>
        </is>
      </c>
      <c r="E20" s="8" t="inlineStr">
        <is>
          <t>A run-trigger notebook, read-only report notebook, and demo SQL exist. No deployed dashboard is evidenced.</t>
        </is>
      </c>
      <c r="F20" s="8" t="inlineStr">
        <is>
          <t>Run report identifies audit-derived status and clearly marks unavailable counts.; Notebook output is read-only and totals reconcile to source tables.; Report states that scheduled-run completeness is not evaluated and dashboard is not implemented.</t>
        </is>
      </c>
      <c r="G20" s="8" t="n">
        <v>3</v>
      </c>
      <c r="H20" s="8" t="inlineStr">
        <is>
          <t>Medium</t>
        </is>
      </c>
      <c r="I20" s="8" t="inlineStr">
        <is>
          <t>IMPLEMENTED</t>
        </is>
      </c>
      <c r="J20" s="8" t="inlineStr"/>
      <c r="K20" s="8" t="inlineStr">
        <is>
          <t>BR-006; BR-007; BR-008</t>
        </is>
      </c>
      <c r="L20" s="8" t="inlineStr">
        <is>
          <t>FR-010; FR-011; FR-012</t>
        </is>
      </c>
      <c r="M20" s="8" t="inlineStr">
        <is>
          <t>TMP-018</t>
        </is>
      </c>
      <c r="N20" s="8" t="inlineStr">
        <is>
          <t>Gold/Silver tables and Jobs API</t>
        </is>
      </c>
      <c r="O20" s="8" t="inlineStr">
        <is>
          <t>Run-control/report notebooks and SQL queries</t>
        </is>
      </c>
    </row>
    <row r="21" ht="34" customHeight="1">
      <c r="A21" s="9" t="inlineStr">
        <is>
          <t>TMP-020</t>
        </is>
      </c>
      <c r="B21" s="9" t="inlineStr">
        <is>
          <t>TMP-EP11</t>
        </is>
      </c>
      <c r="C21" s="9" t="inlineStr">
        <is>
          <t>Deliver user-accepted trading and P&amp;L dashboard MVP</t>
        </is>
      </c>
      <c r="D21" s="9" t="inlineStr">
        <is>
          <t>Present agreed Gold reporting datasets in an approved Databricks SQL dashboard or chosen BI tool.</t>
        </is>
      </c>
      <c r="E21" s="9" t="inlineStr">
        <is>
          <t>Dashboard technology, user roles, filters, reconciliation views, and access model remain to be confirmed; this is proposed work, not current functionality.</t>
        </is>
      </c>
      <c r="F21" s="9" t="inlineStr">
        <is>
          <t>Product owner signs off audience, filters, date/book/symbol dimensions, and exception drill-through.; Dashboard totals reconcile to Gold daily_pnl and positions for agreed test dates.; Dashboard access is least privilege and deployment is repeatable; no dashboard is reported as live before sign-off.</t>
        </is>
      </c>
      <c r="G21" s="9" t="n">
        <v>5</v>
      </c>
      <c r="H21" s="9" t="inlineStr">
        <is>
          <t>Medium</t>
        </is>
      </c>
      <c r="I21" s="9" t="inlineStr">
        <is>
          <t>PLANNED</t>
        </is>
      </c>
      <c r="J21" s="9" t="inlineStr">
        <is>
          <t>Sprint 4</t>
        </is>
      </c>
      <c r="K21" s="9" t="inlineStr">
        <is>
          <t>BR-006</t>
        </is>
      </c>
      <c r="L21" s="9" t="inlineStr">
        <is>
          <t>FR-010</t>
        </is>
      </c>
      <c r="M21" s="9" t="inlineStr">
        <is>
          <t>TMP-002; TMP-008; TMP-018; TMP-019</t>
        </is>
      </c>
      <c r="N21" s="9" t="inlineStr">
        <is>
          <t>Approved reporting requirements; Gold datasets</t>
        </is>
      </c>
      <c r="O21" s="9" t="inlineStr">
        <is>
          <t>Dashboard MVP and validation evidence</t>
        </is>
      </c>
    </row>
    <row r="22" ht="34" customHeight="1">
      <c r="A22" s="8" t="inlineStr">
        <is>
          <t>TMP-021</t>
        </is>
      </c>
      <c r="B22" s="8" t="inlineStr">
        <is>
          <t>TMP-EP12</t>
        </is>
      </c>
      <c r="C22" s="8" t="inlineStr">
        <is>
          <t>Maintain deterministic unit and transformation tests</t>
        </is>
      </c>
      <c r="D22" s="8" t="inlineStr">
        <is>
          <t>Protect module contracts and calculation rules with repeatable test cases.</t>
        </is>
      </c>
      <c r="E22" s="8" t="inlineStr">
        <is>
          <t>Tests cover source parsing, transformations, DDL/query shape, packaging, notebook helpers, and financial examples; Spark-dependent cases need a compatible runtime. Three focused tests currently fail because they reference removed Silver *_constraints.sql files; current checks are consolidated into trades.sql and market_prices.sql.</t>
        </is>
      </c>
      <c r="F22" s="8" t="inlineStr">
        <is>
          <t>Business-rule tests include correction, duplicate, calendar, missing price, short position, and P&amp;L decomposition cases.; CI reports skips separately from passes and does not treat unavailable Spark tests as verified.; Replace stale test references with the consolidated Silver DDL and verify its CHECK constraints.; New failures are triaged against the baseline; no unrelated failures are silently waived.</t>
        </is>
      </c>
      <c r="G22" s="8" t="n">
        <v>3</v>
      </c>
      <c r="H22" s="8" t="inlineStr">
        <is>
          <t>High</t>
        </is>
      </c>
      <c r="I22" s="8" t="inlineStr">
        <is>
          <t>PARTIALLY IMPLEMENTED</t>
        </is>
      </c>
      <c r="J22" s="8" t="inlineStr"/>
      <c r="K22" s="8" t="inlineStr">
        <is>
          <t>BR-001; BR-002; BR-003; BR-004; BR-005; BR-007</t>
        </is>
      </c>
      <c r="L22" s="8" t="inlineStr">
        <is>
          <t>FR-001; FR-002; FR-003; FR-004; FR-005; FR-006; FR-007; FR-008</t>
        </is>
      </c>
      <c r="M22" s="8" t="inlineStr"/>
      <c r="N22" s="8" t="inlineStr">
        <is>
          <t>pytest suite; supported Python/Spark runtime</t>
        </is>
      </c>
      <c r="O22" s="8" t="inlineStr">
        <is>
          <t>Deterministic test evidence</t>
        </is>
      </c>
    </row>
    <row r="23" ht="34" customHeight="1">
      <c r="A23" s="9" t="inlineStr">
        <is>
          <t>TMP-022</t>
        </is>
      </c>
      <c r="B23" s="9" t="inlineStr">
        <is>
          <t>TMP-EP12</t>
        </is>
      </c>
      <c r="C23" s="9" t="inlineStr">
        <is>
          <t>Complete independent position/P&amp;L reconciliation and UAT</t>
        </is>
      </c>
      <c r="D23" s="9" t="inlineStr">
        <is>
          <t>Close the gap between pipeline output and business-approved calculations.</t>
        </is>
      </c>
      <c r="E23" s="9" t="inlineStr">
        <is>
          <t>The 2026-10-11 run has independent SQL reconciliation with zero reported mismatches; same-input rerun remained queued in the report.</t>
        </is>
      </c>
      <c r="F23" s="9" t="inlineStr">
        <is>
          <t>Trade-to-position quantities reconcile by date/book/counterparty/instrument.; Position market value and daily P&amp;L reconcile using approved close/baseline/trade cash-flow methodology.; Business owner signs UAT evidence for representative long, short, flat, correction, and missing-price cases.; A complete same-input rerun has recorded evidence; do not rely only on unit tests.</t>
        </is>
      </c>
      <c r="G23" s="9" t="n">
        <v>2</v>
      </c>
      <c r="H23" s="9" t="inlineStr">
        <is>
          <t>High</t>
        </is>
      </c>
      <c r="I23" s="9" t="inlineStr">
        <is>
          <t>PARTIALLY IMPLEMENTED</t>
        </is>
      </c>
      <c r="J23" s="9" t="inlineStr">
        <is>
          <t>Sprint 4</t>
        </is>
      </c>
      <c r="K23" s="9" t="inlineStr">
        <is>
          <t>BR-003; BR-004; BR-005; BR-006</t>
        </is>
      </c>
      <c r="L23" s="9" t="inlineStr">
        <is>
          <t>FR-006; FR-007; FR-008; FR-009; FR-010; FR-013</t>
        </is>
      </c>
      <c r="M23" s="9" t="inlineStr">
        <is>
          <t>TMP-016; TMP-018</t>
        </is>
      </c>
      <c r="N23" s="9" t="inlineStr">
        <is>
          <t>Gold outputs; independent SQL; business test cases</t>
        </is>
      </c>
      <c r="O23" s="9" t="inlineStr">
        <is>
          <t>Reconciliation and UAT sign-off</t>
        </is>
      </c>
    </row>
    <row r="24" ht="34" customHeight="1">
      <c r="A24" s="8" t="inlineStr">
        <is>
          <t>TMP-023</t>
        </is>
      </c>
      <c r="B24" s="8" t="inlineStr">
        <is>
          <t>TMP-EP13</t>
        </is>
      </c>
      <c r="C24" s="8" t="inlineStr">
        <is>
          <t>Operate the dev workflow with controlled scheduling</t>
        </is>
      </c>
      <c r="D24" s="8" t="inlineStr">
        <is>
          <t>Use existing Asset Bundle workflow safely and keep schedule gated on readiness.</t>
        </is>
      </c>
      <c r="E24" s="8" t="inlineStr">
        <is>
          <t>Current Job allows one concurrent run, runs six tasks, and has a weekday 18:00 America/New_York schedule configured as PAUSED.</t>
        </is>
      </c>
      <c r="F24" s="8" t="inlineStr">
        <is>
          <t>Manual run and failure states are visible in Job UI and audit tables.; Schedule remains paused until source owner, support contact, permissions, runbook, and alert path are approved.; Any future unpause/change is reviewed and recorded with owner and rollback path.</t>
        </is>
      </c>
      <c r="G24" s="8" t="n">
        <v>3</v>
      </c>
      <c r="H24" s="8" t="inlineStr">
        <is>
          <t>High</t>
        </is>
      </c>
      <c r="I24" s="8" t="inlineStr">
        <is>
          <t>PARTIALLY IMPLEMENTED</t>
        </is>
      </c>
      <c r="J24" s="8" t="inlineStr"/>
      <c r="K24" s="8" t="inlineStr">
        <is>
          <t>BR-007; BR-008</t>
        </is>
      </c>
      <c r="L24" s="8" t="inlineStr">
        <is>
          <t>FR-011; FR-012; FR-013</t>
        </is>
      </c>
      <c r="M24" s="8" t="inlineStr">
        <is>
          <t>TMP-009</t>
        </is>
      </c>
      <c r="N24" s="8" t="inlineStr">
        <is>
          <t>Deployed dev Job; operational readiness decisions</t>
        </is>
      </c>
      <c r="O24" s="8" t="inlineStr">
        <is>
          <t>Controlled dev operating procedure</t>
        </is>
      </c>
    </row>
    <row r="25" ht="34" customHeight="1">
      <c r="A25" s="9" t="inlineStr">
        <is>
          <t>TMP-024</t>
        </is>
      </c>
      <c r="B25" s="9" t="inlineStr">
        <is>
          <t>TMP-EP13</t>
        </is>
      </c>
      <c r="C25" s="9" t="inlineStr">
        <is>
          <t>Create support runbook, alerting, and handover</t>
        </is>
      </c>
      <c r="D25" s="9" t="inlineStr">
        <is>
          <t>Prepare an operational handoff with actionable diagnosis and escalation.</t>
        </is>
      </c>
      <c r="E25" s="9" t="inlineStr">
        <is>
          <t>Define monitoring on Job/audit/reject/break signals; alerting and support ownership are not implemented in the repo.</t>
        </is>
      </c>
      <c r="F25" s="9" t="inlineStr">
        <is>
          <t>Runbook describes failed task diagnosis, source repair, safe rerun, reconciliation, and escalation owner.; Alert criteria and response targets are approved and tested; proposed five-minute detection target remains proposed until measured.; Handover includes architecture, data contracts, access, known limitations, deployment procedure, and open risks.</t>
        </is>
      </c>
      <c r="G25" s="9" t="n">
        <v>3</v>
      </c>
      <c r="H25" s="9" t="inlineStr">
        <is>
          <t>High</t>
        </is>
      </c>
      <c r="I25" s="9" t="inlineStr">
        <is>
          <t>PLANNED</t>
        </is>
      </c>
      <c r="J25" s="9" t="inlineStr">
        <is>
          <t>Sprint 4</t>
        </is>
      </c>
      <c r="K25" s="9" t="inlineStr">
        <is>
          <t>BR-007; BR-008</t>
        </is>
      </c>
      <c r="L25" s="9" t="inlineStr">
        <is>
          <t>FR-011; FR-012; FR-013</t>
        </is>
      </c>
      <c r="M25" s="9" t="inlineStr">
        <is>
          <t>TMP-003; TMP-019; TMP-022; TMP-023</t>
        </is>
      </c>
      <c r="N25" s="9" t="inlineStr">
        <is>
          <t>Approved NFRs; report; reconciliation; support contacts</t>
        </is>
      </c>
      <c r="O25" s="9" t="inlineStr">
        <is>
          <t>Runbook, notification path, handover sign-off</t>
        </is>
      </c>
    </row>
  </sheetData>
  <autoFilter ref="A1:O25"/>
  <conditionalFormatting sqref="I2:I25">
    <cfRule type="expression" priority="1" dxfId="0">
      <formula>I2="IMPLEMENTED"</formula>
    </cfRule>
    <cfRule type="expression" priority="2" dxfId="1">
      <formula>I2="PARTIALLY IMPLEMENTED"</formula>
    </cfRule>
    <cfRule type="expression" priority="3" dxfId="2">
      <formula>I2="PLANNED"</formula>
    </cfRule>
    <cfRule type="expression" priority="4" dxfId="3">
      <formula>I2="TO BE CONFIRMED"</formula>
    </cfRule>
  </conditionalFormatting>
  <dataValidations count="3">
    <dataValidation sqref="I2:I25" showDropDown="0" showInputMessage="0" showErrorMessage="0" allowBlank="1" type="list">
      <formula1>"IMPLEMENTED,PARTIALLY IMPLEMENTED,PLANNED,TO BE CONFIRMED"</formula1>
    </dataValidation>
    <dataValidation sqref="H2:H25" showDropDown="0" showInputMessage="0" showErrorMessage="0" allowBlank="1" type="list">
      <formula1>"High,Medium,Low,Must,Should"</formula1>
    </dataValidation>
    <dataValidation sqref="J2:J25" showDropDown="0" showInputMessage="0" showErrorMessage="0" allowBlank="1" type="list">
      <formula1>"Sprint 1,Sprint 2,Sprint 3,Sprint 4"</formula1>
    </dataValidation>
  </dataValidation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  <col width="72" customWidth="1" min="4" max="4"/>
    <col width="42" customWidth="1" min="5" max="5"/>
  </cols>
  <sheetData>
    <row r="1" ht="34" customHeight="1">
      <c r="A1" s="7" t="inlineStr">
        <is>
          <t>Subtask ID</t>
        </is>
      </c>
      <c r="B1" s="7" t="inlineStr">
        <is>
          <t>Parent story</t>
        </is>
      </c>
      <c r="C1" s="7" t="inlineStr">
        <is>
          <t>Description</t>
        </is>
      </c>
      <c r="D1" s="7" t="inlineStr">
        <is>
          <t>Expected output</t>
        </is>
      </c>
      <c r="E1" s="7" t="inlineStr">
        <is>
          <t>Dependency</t>
        </is>
      </c>
    </row>
    <row r="2" ht="34" customHeight="1">
      <c r="A2" s="8" t="inlineStr">
        <is>
          <t>TMP-001-ST01</t>
        </is>
      </c>
      <c r="B2" s="8" t="inlineStr">
        <is>
          <t>TMP-001</t>
        </is>
      </c>
      <c r="C2" s="8" t="inlineStr">
        <is>
          <t>Inventory code, DDL, tests, docs, and deployment assets</t>
        </is>
      </c>
      <c r="D2" s="8" t="inlineStr">
        <is>
          <t>Completed evidence for inventory code, ddl, tests, docs, and deployment assets</t>
        </is>
      </c>
      <c r="E2" s="8" t="inlineStr">
        <is>
          <t>Parent story and its predecessors</t>
        </is>
      </c>
    </row>
    <row r="3" ht="34" customHeight="1">
      <c r="A3" s="9" t="inlineStr">
        <is>
          <t>TMP-001-ST02</t>
        </is>
      </c>
      <c r="B3" s="9" t="inlineStr">
        <is>
          <t>TMP-001</t>
        </is>
      </c>
      <c r="C3" s="9" t="inlineStr">
        <is>
          <t>Review prototype boundaries and obtain scope decisions</t>
        </is>
      </c>
      <c r="D3" s="9" t="inlineStr">
        <is>
          <t>Completed evidence for review prototype boundaries and obtain scope decisions</t>
        </is>
      </c>
      <c r="E3" s="9" t="inlineStr">
        <is>
          <t>Parent story and its predecessors</t>
        </is>
      </c>
    </row>
    <row r="4" ht="34" customHeight="1">
      <c r="A4" s="8" t="inlineStr">
        <is>
          <t>TMP-002-ST01</t>
        </is>
      </c>
      <c r="B4" s="8" t="inlineStr">
        <is>
          <t>TMP-002</t>
        </is>
      </c>
      <c r="C4" s="8" t="inlineStr">
        <is>
          <t>Interview trading, operations, and technology stakeholders</t>
        </is>
      </c>
      <c r="D4" s="8" t="inlineStr">
        <is>
          <t>Completed evidence for interview trading, operations, and technology stakeholders</t>
        </is>
      </c>
      <c r="E4" s="8" t="inlineStr">
        <is>
          <t>Parent story and its predecessors</t>
        </is>
      </c>
    </row>
    <row r="5" ht="34" customHeight="1">
      <c r="A5" s="9" t="inlineStr">
        <is>
          <t>TMP-002-ST02</t>
        </is>
      </c>
      <c r="B5" s="9" t="inlineStr">
        <is>
          <t>TMP-002</t>
        </is>
      </c>
      <c r="C5" s="9" t="inlineStr">
        <is>
          <t>Review and approve BR/FR traceability and decisions</t>
        </is>
      </c>
      <c r="D5" s="9" t="inlineStr">
        <is>
          <t>Completed evidence for review and approve br/fr traceability and decisions</t>
        </is>
      </c>
      <c r="E5" s="9" t="inlineStr">
        <is>
          <t>Parent story and its predecessors</t>
        </is>
      </c>
    </row>
    <row r="6" ht="34" customHeight="1">
      <c r="A6" s="8" t="inlineStr">
        <is>
          <t>TMP-003-ST01</t>
        </is>
      </c>
      <c r="B6" s="8" t="inlineStr">
        <is>
          <t>TMP-003</t>
        </is>
      </c>
      <c r="C6" s="8" t="inlineStr">
        <is>
          <t>Measure demo workload and propose service thresholds</t>
        </is>
      </c>
      <c r="D6" s="8" t="inlineStr">
        <is>
          <t>Completed evidence for measure demo workload and propose service thresholds</t>
        </is>
      </c>
      <c r="E6" s="8" t="inlineStr">
        <is>
          <t>Parent story and its predecessors</t>
        </is>
      </c>
    </row>
    <row r="7" ht="34" customHeight="1">
      <c r="A7" s="9" t="inlineStr">
        <is>
          <t>TMP-003-ST02</t>
        </is>
      </c>
      <c r="B7" s="9" t="inlineStr">
        <is>
          <t>TMP-003</t>
        </is>
      </c>
      <c r="C7" s="9" t="inlineStr">
        <is>
          <t>Confirm security, retention, recovery, and support policies</t>
        </is>
      </c>
      <c r="D7" s="9" t="inlineStr">
        <is>
          <t>Completed evidence for confirm security, retention, recovery, and support policies</t>
        </is>
      </c>
      <c r="E7" s="9" t="inlineStr">
        <is>
          <t>Parent story and its predecessors</t>
        </is>
      </c>
    </row>
    <row r="8" ht="34" customHeight="1">
      <c r="A8" s="8" t="inlineStr">
        <is>
          <t>TMP-004-ST01</t>
        </is>
      </c>
      <c r="B8" s="8" t="inlineStr">
        <is>
          <t>TMP-004</t>
        </is>
      </c>
      <c r="C8" s="8" t="inlineStr">
        <is>
          <t>Trace workflow and component ownership from code/config</t>
        </is>
      </c>
      <c r="D8" s="8" t="inlineStr">
        <is>
          <t>Completed evidence for trace workflow and component ownership from code/config</t>
        </is>
      </c>
      <c r="E8" s="8" t="inlineStr">
        <is>
          <t>Parent story and its predecessors</t>
        </is>
      </c>
    </row>
    <row r="9" ht="34" customHeight="1">
      <c r="A9" s="9" t="inlineStr">
        <is>
          <t>TMP-004-ST02</t>
        </is>
      </c>
      <c r="B9" s="9" t="inlineStr">
        <is>
          <t>TMP-004</t>
        </is>
      </c>
      <c r="C9" s="9" t="inlineStr">
        <is>
          <t>Review target-state gap and architecture decisions</t>
        </is>
      </c>
      <c r="D9" s="9" t="inlineStr">
        <is>
          <t>Completed evidence for review target-state gap and architecture decisions</t>
        </is>
      </c>
      <c r="E9" s="9" t="inlineStr">
        <is>
          <t>Parent story and its predecessors</t>
        </is>
      </c>
    </row>
    <row r="10" ht="34" customHeight="1">
      <c r="A10" s="8" t="inlineStr">
        <is>
          <t>TMP-005-ST01</t>
        </is>
      </c>
      <c r="B10" s="8" t="inlineStr">
        <is>
          <t>TMP-005</t>
        </is>
      </c>
      <c r="C10" s="8" t="inlineStr">
        <is>
          <t>Confirm target workspaces, principals, and data access</t>
        </is>
      </c>
      <c r="D10" s="8" t="inlineStr">
        <is>
          <t>Completed evidence for confirm target workspaces, principals, and data access</t>
        </is>
      </c>
      <c r="E10" s="8" t="inlineStr">
        <is>
          <t>Parent story and its predecessors</t>
        </is>
      </c>
    </row>
    <row r="11" ht="34" customHeight="1">
      <c r="A11" s="9" t="inlineStr">
        <is>
          <t>TMP-005-ST02</t>
        </is>
      </c>
      <c r="B11" s="9" t="inlineStr">
        <is>
          <t>TMP-005</t>
        </is>
      </c>
      <c r="C11" s="9" t="inlineStr">
        <is>
          <t>Document secret, grant, and deployment configuration controls</t>
        </is>
      </c>
      <c r="D11" s="9" t="inlineStr">
        <is>
          <t>Completed evidence for document secret, grant, and deployment configuration controls</t>
        </is>
      </c>
      <c r="E11" s="9" t="inlineStr">
        <is>
          <t>Parent story and its predecessors</t>
        </is>
      </c>
    </row>
    <row r="12" ht="34" customHeight="1">
      <c r="A12" s="8" t="inlineStr">
        <is>
          <t>TMP-006-ST01</t>
        </is>
      </c>
      <c r="B12" s="8" t="inlineStr">
        <is>
          <t>TMP-006</t>
        </is>
      </c>
      <c r="C12" s="8" t="inlineStr">
        <is>
          <t>Confirm 14-column schema and required fields</t>
        </is>
      </c>
      <c r="D12" s="8" t="inlineStr">
        <is>
          <t>Completed evidence for confirm 14-column schema and required fields</t>
        </is>
      </c>
      <c r="E12" s="8" t="inlineStr">
        <is>
          <t>Parent story and its predecessors</t>
        </is>
      </c>
    </row>
    <row r="13" ht="34" customHeight="1">
      <c r="A13" s="9" t="inlineStr">
        <is>
          <t>TMP-006-ST02</t>
        </is>
      </c>
      <c r="B13" s="9" t="inlineStr">
        <is>
          <t>TMP-006</t>
        </is>
      </c>
      <c r="C13" s="9" t="inlineStr">
        <is>
          <t>Agree source snapshot, correction, cancellation, and replay rules</t>
        </is>
      </c>
      <c r="D13" s="9" t="inlineStr">
        <is>
          <t>Completed evidence for agree source snapshot, correction, cancellation, and replay rules</t>
        </is>
      </c>
      <c r="E13" s="9" t="inlineStr">
        <is>
          <t>Parent story and its predecessors</t>
        </is>
      </c>
    </row>
    <row r="14" ht="34" customHeight="1">
      <c r="A14" s="8" t="inlineStr">
        <is>
          <t>TMP-007-ST01</t>
        </is>
      </c>
      <c r="B14" s="8" t="inlineStr">
        <is>
          <t>TMP-007</t>
        </is>
      </c>
      <c r="C14" s="8" t="inlineStr">
        <is>
          <t>Assess provider options, licensing, and connection method</t>
        </is>
      </c>
      <c r="D14" s="8" t="inlineStr">
        <is>
          <t>Completed evidence for assess provider options, licensing, and connection method</t>
        </is>
      </c>
      <c r="E14" s="8" t="inlineStr">
        <is>
          <t>Parent story and its predecessors</t>
        </is>
      </c>
    </row>
    <row r="15" ht="34" customHeight="1">
      <c r="A15" s="9" t="inlineStr">
        <is>
          <t>TMP-007-ST02</t>
        </is>
      </c>
      <c r="B15" s="9" t="inlineStr">
        <is>
          <t>TMP-007</t>
        </is>
      </c>
      <c r="C15" s="9" t="inlineStr">
        <is>
          <t>Approve close definition, currency, corrections, and session coverage</t>
        </is>
      </c>
      <c r="D15" s="9" t="inlineStr">
        <is>
          <t>Completed evidence for approve close definition, currency, corrections, and session coverage</t>
        </is>
      </c>
      <c r="E15" s="9" t="inlineStr">
        <is>
          <t>Parent story and its predecessors</t>
        </is>
      </c>
    </row>
    <row r="16" ht="34" customHeight="1">
      <c r="A16" s="8" t="inlineStr">
        <is>
          <t>TMP-008-ST01</t>
        </is>
      </c>
      <c r="B16" s="8" t="inlineStr">
        <is>
          <t>TMP-008</t>
        </is>
      </c>
      <c r="C16" s="8" t="inlineStr">
        <is>
          <t>Validate table grains, keys, constraints, and lineage</t>
        </is>
      </c>
      <c r="D16" s="8" t="inlineStr">
        <is>
          <t>Completed evidence for validate table grains, keys, constraints, and lineage</t>
        </is>
      </c>
      <c r="E16" s="8" t="inlineStr">
        <is>
          <t>Parent story and its predecessors</t>
        </is>
      </c>
    </row>
    <row r="17" ht="34" customHeight="1">
      <c r="A17" s="9" t="inlineStr">
        <is>
          <t>TMP-008-ST02</t>
        </is>
      </c>
      <c r="B17" s="9" t="inlineStr">
        <is>
          <t>TMP-008</t>
        </is>
      </c>
      <c r="C17" s="9" t="inlineStr">
        <is>
          <t>Confirm financial types and retention/optimization choices</t>
        </is>
      </c>
      <c r="D17" s="9" t="inlineStr">
        <is>
          <t>Completed evidence for confirm financial types and retention/optimization choices</t>
        </is>
      </c>
      <c r="E17" s="9" t="inlineStr">
        <is>
          <t>Parent story and its predecessors</t>
        </is>
      </c>
    </row>
    <row r="18" ht="34" customHeight="1">
      <c r="A18" s="8" t="inlineStr">
        <is>
          <t>TMP-009-ST01</t>
        </is>
      </c>
      <c r="B18" s="8" t="inlineStr">
        <is>
          <t>TMP-009</t>
        </is>
      </c>
      <c r="C18" s="8" t="inlineStr">
        <is>
          <t>Build wheel and validate Bundle configuration</t>
        </is>
      </c>
      <c r="D18" s="8" t="inlineStr">
        <is>
          <t>Completed evidence for build wheel and validate bundle configuration</t>
        </is>
      </c>
      <c r="E18" s="8" t="inlineStr">
        <is>
          <t>Parent story and its predecessors</t>
        </is>
      </c>
    </row>
    <row r="19" ht="34" customHeight="1">
      <c r="A19" s="9" t="inlineStr">
        <is>
          <t>TMP-009-ST02</t>
        </is>
      </c>
      <c r="B19" s="9" t="inlineStr">
        <is>
          <t>TMP-009</t>
        </is>
      </c>
      <c r="C19" s="9" t="inlineStr">
        <is>
          <t>Deploy dev bundle and capture run evidence</t>
        </is>
      </c>
      <c r="D19" s="9" t="inlineStr">
        <is>
          <t>Completed evidence for deploy dev bundle and capture run evidence</t>
        </is>
      </c>
      <c r="E19" s="9" t="inlineStr">
        <is>
          <t>Parent story and its predecessors</t>
        </is>
      </c>
    </row>
    <row r="20" ht="34" customHeight="1">
      <c r="A20" s="8" t="inlineStr">
        <is>
          <t>TMP-010-ST01</t>
        </is>
      </c>
      <c r="B20" s="8" t="inlineStr">
        <is>
          <t>TMP-010</t>
        </is>
      </c>
      <c r="C20" s="8" t="inlineStr">
        <is>
          <t>Add package/test/Bundle validation pipeline</t>
        </is>
      </c>
      <c r="D20" s="8" t="inlineStr">
        <is>
          <t>Completed evidence for add package/test/bundle validation pipeline</t>
        </is>
      </c>
      <c r="E20" s="8" t="inlineStr">
        <is>
          <t>Parent story and its predecessors</t>
        </is>
      </c>
    </row>
    <row r="21" ht="34" customHeight="1">
      <c r="A21" s="9" t="inlineStr">
        <is>
          <t>TMP-010-ST02</t>
        </is>
      </c>
      <c r="B21" s="9" t="inlineStr">
        <is>
          <t>TMP-010</t>
        </is>
      </c>
      <c r="C21" s="9" t="inlineStr">
        <is>
          <t>Define artifact promotion, approvals, and rollback evidence</t>
        </is>
      </c>
      <c r="D21" s="9" t="inlineStr">
        <is>
          <t>Completed evidence for define artifact promotion, approvals, and rollback evidence</t>
        </is>
      </c>
      <c r="E21" s="9" t="inlineStr">
        <is>
          <t>Parent story and its predecessors</t>
        </is>
      </c>
    </row>
    <row r="22" ht="34" customHeight="1">
      <c r="A22" s="8" t="inlineStr">
        <is>
          <t>TMP-011-ST01</t>
        </is>
      </c>
      <c r="B22" s="8" t="inlineStr">
        <is>
          <t>TMP-011</t>
        </is>
      </c>
      <c r="C22" s="8" t="inlineStr">
        <is>
          <t>Validate file schema and structural integrity</t>
        </is>
      </c>
      <c r="D22" s="8" t="inlineStr">
        <is>
          <t>Completed evidence for validate file schema and structural integrity</t>
        </is>
      </c>
      <c r="E22" s="8" t="inlineStr">
        <is>
          <t>Parent story and its predecessors</t>
        </is>
      </c>
    </row>
    <row r="23" ht="34" customHeight="1">
      <c r="A23" s="9" t="inlineStr">
        <is>
          <t>TMP-011-ST02</t>
        </is>
      </c>
      <c r="B23" s="9" t="inlineStr">
        <is>
          <t>TMP-011</t>
        </is>
      </c>
      <c r="C23" s="9" t="inlineStr">
        <is>
          <t>Write and audit distinct full-snapshot Bronze rows</t>
        </is>
      </c>
      <c r="D23" s="9" t="inlineStr">
        <is>
          <t>Completed evidence for write and audit distinct full-snapshot bronze rows</t>
        </is>
      </c>
      <c r="E23" s="9" t="inlineStr">
        <is>
          <t>Parent story and its predecessors</t>
        </is>
      </c>
    </row>
    <row r="24" ht="34" customHeight="1">
      <c r="A24" s="8" t="inlineStr">
        <is>
          <t>TMP-012-ST01</t>
        </is>
      </c>
      <c r="B24" s="8" t="inlineStr">
        <is>
          <t>TMP-012</t>
        </is>
      </c>
      <c r="C24" s="8" t="inlineStr">
        <is>
          <t>Select append-only event or snapshot reconciliation approach</t>
        </is>
      </c>
      <c r="D24" s="8" t="inlineStr">
        <is>
          <t>Completed evidence for select append-only event or snapshot reconciliation approach</t>
        </is>
      </c>
      <c r="E24" s="8" t="inlineStr">
        <is>
          <t>Parent story and its predecessors</t>
        </is>
      </c>
    </row>
    <row r="25" ht="34" customHeight="1">
      <c r="A25" s="9" t="inlineStr">
        <is>
          <t>TMP-012-ST02</t>
        </is>
      </c>
      <c r="B25" s="9" t="inlineStr">
        <is>
          <t>TMP-012</t>
        </is>
      </c>
      <c r="C25" s="9" t="inlineStr">
        <is>
          <t>Implement and test disappearance/cancellation/correction cases</t>
        </is>
      </c>
      <c r="D25" s="9" t="inlineStr">
        <is>
          <t>Completed evidence for implement and test disappearance/cancellation/correction cases</t>
        </is>
      </c>
      <c r="E25" s="9" t="inlineStr">
        <is>
          <t>Parent story and its predecessors</t>
        </is>
      </c>
    </row>
    <row r="26" ht="34" customHeight="1">
      <c r="A26" s="8" t="inlineStr">
        <is>
          <t>TMP-013-ST01</t>
        </is>
      </c>
      <c r="B26" s="8" t="inlineStr">
        <is>
          <t>TMP-013</t>
        </is>
      </c>
      <c r="C26" s="8" t="inlineStr">
        <is>
          <t>Normalize daily provider payload and date range</t>
        </is>
      </c>
      <c r="D26" s="8" t="inlineStr">
        <is>
          <t>Completed evidence for normalize daily provider payload and date range</t>
        </is>
      </c>
      <c r="E26" s="8" t="inlineStr">
        <is>
          <t>Parent story and its predecessors</t>
        </is>
      </c>
    </row>
    <row r="27" ht="34" customHeight="1">
      <c r="A27" s="9" t="inlineStr">
        <is>
          <t>TMP-013-ST02</t>
        </is>
      </c>
      <c r="B27" s="9" t="inlineStr">
        <is>
          <t>TMP-013</t>
        </is>
      </c>
      <c r="C27" s="9" t="inlineStr">
        <is>
          <t>Merge price history and audit source outcomes</t>
        </is>
      </c>
      <c r="D27" s="9" t="inlineStr">
        <is>
          <t>Completed evidence for merge price history and audit source outcomes</t>
        </is>
      </c>
      <c r="E27" s="9" t="inlineStr">
        <is>
          <t>Parent story and its predecessors</t>
        </is>
      </c>
    </row>
    <row r="28" ht="34" customHeight="1">
      <c r="A28" s="8" t="inlineStr">
        <is>
          <t>TMP-014-ST01</t>
        </is>
      </c>
      <c r="B28" s="8" t="inlineStr">
        <is>
          <t>TMP-014</t>
        </is>
      </c>
      <c r="C28" s="8" t="inlineStr">
        <is>
          <t>Define deterministic test source and provider configuration</t>
        </is>
      </c>
      <c r="D28" s="8" t="inlineStr">
        <is>
          <t>Completed evidence for define deterministic test source and provider configuration</t>
        </is>
      </c>
      <c r="E28" s="8" t="inlineStr">
        <is>
          <t>Parent story and its predecessors</t>
        </is>
      </c>
    </row>
    <row r="29" ht="34" customHeight="1">
      <c r="A29" s="9" t="inlineStr">
        <is>
          <t>TMP-014-ST02</t>
        </is>
      </c>
      <c r="B29" s="9" t="inlineStr">
        <is>
          <t>TMP-014</t>
        </is>
      </c>
      <c r="C29" s="9" t="inlineStr">
        <is>
          <t>Document missing-price triage, correction, and retry behavior</t>
        </is>
      </c>
      <c r="D29" s="9" t="inlineStr">
        <is>
          <t>Completed evidence for document missing-price triage, correction, and retry behavior</t>
        </is>
      </c>
      <c r="E29" s="9" t="inlineStr">
        <is>
          <t>Parent story and its predecessors</t>
        </is>
      </c>
    </row>
    <row r="30" ht="34" customHeight="1">
      <c r="A30" s="8" t="inlineStr">
        <is>
          <t>TMP-015-ST01</t>
        </is>
      </c>
      <c r="B30" s="8" t="inlineStr">
        <is>
          <t>TMP-015</t>
        </is>
      </c>
      <c r="C30" s="8" t="inlineStr">
        <is>
          <t>Cast and validate typed trade/price values</t>
        </is>
      </c>
      <c r="D30" s="8" t="inlineStr">
        <is>
          <t>Completed evidence for cast and validate typed trade/price values</t>
        </is>
      </c>
      <c r="E30" s="8" t="inlineStr">
        <is>
          <t>Parent story and its predecessors</t>
        </is>
      </c>
    </row>
    <row r="31" ht="34" customHeight="1">
      <c r="A31" s="9" t="inlineStr">
        <is>
          <t>TMP-015-ST02</t>
        </is>
      </c>
      <c r="B31" s="9" t="inlineStr">
        <is>
          <t>TMP-015</t>
        </is>
      </c>
      <c r="C31" s="9" t="inlineStr">
        <is>
          <t>Apply dedupe/version rules and idempotent reject MERGE</t>
        </is>
      </c>
      <c r="D31" s="9" t="inlineStr">
        <is>
          <t>Completed evidence for apply dedupe/version rules and idempotent reject merge</t>
        </is>
      </c>
      <c r="E31" s="9" t="inlineStr">
        <is>
          <t>Parent story and its predecessors</t>
        </is>
      </c>
    </row>
    <row r="32" ht="34" customHeight="1">
      <c r="A32" s="8" t="inlineStr">
        <is>
          <t>TMP-016-ST01</t>
        </is>
      </c>
      <c r="B32" s="8" t="inlineStr">
        <is>
          <t>TMP-016</t>
        </is>
      </c>
      <c r="C32" s="8" t="inlineStr">
        <is>
          <t>Execute Spark/Delta tests in a provisioned environment</t>
        </is>
      </c>
      <c r="D32" s="8" t="inlineStr">
        <is>
          <t>Completed evidence for execute spark/delta tests in a provisioned environment</t>
        </is>
      </c>
      <c r="E32" s="8" t="inlineStr">
        <is>
          <t>Parent story and its predecessors</t>
        </is>
      </c>
    </row>
    <row r="33" ht="34" customHeight="1">
      <c r="A33" s="9" t="inlineStr">
        <is>
          <t>TMP-016-ST02</t>
        </is>
      </c>
      <c r="B33" s="9" t="inlineStr">
        <is>
          <t>TMP-016</t>
        </is>
      </c>
      <c r="C33" s="9" t="inlineStr">
        <is>
          <t>Run same-input job twice and compare business outputs</t>
        </is>
      </c>
      <c r="D33" s="9" t="inlineStr">
        <is>
          <t>Completed evidence for run same-input job twice and compare business outputs</t>
        </is>
      </c>
      <c r="E33" s="9" t="inlineStr">
        <is>
          <t>Parent story and its predecessors</t>
        </is>
      </c>
    </row>
    <row r="34" ht="34" customHeight="1">
      <c r="A34" s="8" t="inlineStr">
        <is>
          <t>TMP-017-ST01</t>
        </is>
      </c>
      <c r="B34" s="8" t="inlineStr">
        <is>
          <t>TMP-017</t>
        </is>
      </c>
      <c r="C34" s="8" t="inlineStr">
        <is>
          <t>Aggregate daily flows and cumulative positions</t>
        </is>
      </c>
      <c r="D34" s="8" t="inlineStr">
        <is>
          <t>Completed evidence for aggregate daily flows and cumulative positions</t>
        </is>
      </c>
      <c r="E34" s="8" t="inlineStr">
        <is>
          <t>Parent story and its predecessors</t>
        </is>
      </c>
    </row>
    <row r="35" ht="34" customHeight="1">
      <c r="A35" s="9" t="inlineStr">
        <is>
          <t>TMP-017-ST02</t>
        </is>
      </c>
      <c r="B35" s="9" t="inlineStr">
        <is>
          <t>TMP-017</t>
        </is>
      </c>
      <c r="C35" s="9" t="inlineStr">
        <is>
          <t>Value at exact-date close and reconcile history</t>
        </is>
      </c>
      <c r="D35" s="9" t="inlineStr">
        <is>
          <t>Completed evidence for value at exact-date close and reconcile history</t>
        </is>
      </c>
      <c r="E35" s="9" t="inlineStr">
        <is>
          <t>Parent story and its predecessors</t>
        </is>
      </c>
    </row>
    <row r="36" ht="34" customHeight="1">
      <c r="A36" s="8" t="inlineStr">
        <is>
          <t>TMP-018-ST01</t>
        </is>
      </c>
      <c r="B36" s="8" t="inlineStr">
        <is>
          <t>TMP-018</t>
        </is>
      </c>
      <c r="C36" s="8" t="inlineStr">
        <is>
          <t>Calculate opening inventory price move and trade-day term</t>
        </is>
      </c>
      <c r="D36" s="8" t="inlineStr">
        <is>
          <t>Completed evidence for calculate opening inventory price move and trade-day term</t>
        </is>
      </c>
      <c r="E36" s="8" t="inlineStr">
        <is>
          <t>Parent story and its predecessors</t>
        </is>
      </c>
    </row>
    <row r="37" ht="34" customHeight="1">
      <c r="A37" s="9" t="inlineStr">
        <is>
          <t>TMP-018-ST02</t>
        </is>
      </c>
      <c r="B37" s="9" t="inlineStr">
        <is>
          <t>TMP-018</t>
        </is>
      </c>
      <c r="C37" s="9" t="inlineStr">
        <is>
          <t>Reconcile output and label simplified P&amp;L limitations</t>
        </is>
      </c>
      <c r="D37" s="9" t="inlineStr">
        <is>
          <t>Completed evidence for reconcile output and label simplified p&amp;l limitations</t>
        </is>
      </c>
      <c r="E37" s="9" t="inlineStr">
        <is>
          <t>Parent story and its predecessors</t>
        </is>
      </c>
    </row>
    <row r="38" ht="34" customHeight="1">
      <c r="A38" s="8" t="inlineStr">
        <is>
          <t>TMP-019-ST01</t>
        </is>
      </c>
      <c r="B38" s="8" t="inlineStr">
        <is>
          <t>TMP-019</t>
        </is>
      </c>
      <c r="C38" s="8" t="inlineStr">
        <is>
          <t>Trigger and monitor controlled Job execution</t>
        </is>
      </c>
      <c r="D38" s="8" t="inlineStr">
        <is>
          <t>Completed evidence for trigger and monitor controlled job execution</t>
        </is>
      </c>
      <c r="E38" s="8" t="inlineStr">
        <is>
          <t>Parent story and its predecessors</t>
        </is>
      </c>
    </row>
    <row r="39" ht="34" customHeight="1">
      <c r="A39" s="9" t="inlineStr">
        <is>
          <t>TMP-019-ST02</t>
        </is>
      </c>
      <c r="B39" s="9" t="inlineStr">
        <is>
          <t>TMP-019</t>
        </is>
      </c>
      <c r="C39" s="9" t="inlineStr">
        <is>
          <t>Report audit, rejects, Gold outcomes, and unavailable metrics</t>
        </is>
      </c>
      <c r="D39" s="9" t="inlineStr">
        <is>
          <t>Completed evidence for report audit, rejects, gold outcomes, and unavailable metrics</t>
        </is>
      </c>
      <c r="E39" s="9" t="inlineStr">
        <is>
          <t>Parent story and its predecessors</t>
        </is>
      </c>
    </row>
    <row r="40" ht="34" customHeight="1">
      <c r="A40" s="8" t="inlineStr">
        <is>
          <t>TMP-020-ST01</t>
        </is>
      </c>
      <c r="B40" s="8" t="inlineStr">
        <is>
          <t>TMP-020</t>
        </is>
      </c>
      <c r="C40" s="8" t="inlineStr">
        <is>
          <t>Agree dashboard user journeys and query model</t>
        </is>
      </c>
      <c r="D40" s="8" t="inlineStr">
        <is>
          <t>Completed evidence for agree dashboard user journeys and query model</t>
        </is>
      </c>
      <c r="E40" s="8" t="inlineStr">
        <is>
          <t>Parent story and its predecessors</t>
        </is>
      </c>
    </row>
    <row r="41" ht="34" customHeight="1">
      <c r="A41" s="9" t="inlineStr">
        <is>
          <t>TMP-020-ST02</t>
        </is>
      </c>
      <c r="B41" s="9" t="inlineStr">
        <is>
          <t>TMP-020</t>
        </is>
      </c>
      <c r="C41" s="9" t="inlineStr">
        <is>
          <t>Build, permission, and reconcile dashboard views</t>
        </is>
      </c>
      <c r="D41" s="9" t="inlineStr">
        <is>
          <t>Completed evidence for build, permission, and reconcile dashboard views</t>
        </is>
      </c>
      <c r="E41" s="9" t="inlineStr">
        <is>
          <t>Parent story and its predecessors</t>
        </is>
      </c>
    </row>
    <row r="42" ht="34" customHeight="1">
      <c r="A42" s="8" t="inlineStr">
        <is>
          <t>TMP-021-ST01</t>
        </is>
      </c>
      <c r="B42" s="8" t="inlineStr">
        <is>
          <t>TMP-021</t>
        </is>
      </c>
      <c r="C42" s="8" t="inlineStr">
        <is>
          <t>Run and triage current unit/static test suite</t>
        </is>
      </c>
      <c r="D42" s="8" t="inlineStr">
        <is>
          <t>Completed evidence for run and triage current unit/static test suite</t>
        </is>
      </c>
      <c r="E42" s="8" t="inlineStr">
        <is>
          <t>Parent story and its predecessors</t>
        </is>
      </c>
    </row>
    <row r="43" ht="34" customHeight="1">
      <c r="A43" s="9" t="inlineStr">
        <is>
          <t>TMP-021-ST02</t>
        </is>
      </c>
      <c r="B43" s="9" t="inlineStr">
        <is>
          <t>TMP-021</t>
        </is>
      </c>
      <c r="C43" s="9" t="inlineStr">
        <is>
          <t>Update stale DDL test paths and maintain focused rule tests</t>
        </is>
      </c>
      <c r="D43" s="9" t="inlineStr">
        <is>
          <t>Completed evidence for update stale ddl test paths and maintain focused rule tests</t>
        </is>
      </c>
      <c r="E43" s="9" t="inlineStr">
        <is>
          <t>Parent story and its predecessors</t>
        </is>
      </c>
    </row>
    <row r="44" ht="34" customHeight="1">
      <c r="A44" s="8" t="inlineStr">
        <is>
          <t>TMP-022-ST01</t>
        </is>
      </c>
      <c r="B44" s="8" t="inlineStr">
        <is>
          <t>TMP-022</t>
        </is>
      </c>
      <c r="C44" s="8" t="inlineStr">
        <is>
          <t>Re-run independent position and P&amp;L reconciliation</t>
        </is>
      </c>
      <c r="D44" s="8" t="inlineStr">
        <is>
          <t>Completed evidence for re-run independent position and p&amp;l reconciliation</t>
        </is>
      </c>
      <c r="E44" s="8" t="inlineStr">
        <is>
          <t>Parent story and its predecessors</t>
        </is>
      </c>
    </row>
    <row r="45" ht="34" customHeight="1">
      <c r="A45" s="9" t="inlineStr">
        <is>
          <t>TMP-022-ST02</t>
        </is>
      </c>
      <c r="B45" s="9" t="inlineStr">
        <is>
          <t>TMP-022</t>
        </is>
      </c>
      <c r="C45" s="9" t="inlineStr">
        <is>
          <t>Obtain business acceptance and capture rerun evidence</t>
        </is>
      </c>
      <c r="D45" s="9" t="inlineStr">
        <is>
          <t>Completed evidence for obtain business acceptance and capture rerun evidence</t>
        </is>
      </c>
      <c r="E45" s="9" t="inlineStr">
        <is>
          <t>Parent story and its predecessors</t>
        </is>
      </c>
    </row>
    <row r="46" ht="34" customHeight="1">
      <c r="A46" s="8" t="inlineStr">
        <is>
          <t>TMP-023-ST01</t>
        </is>
      </c>
      <c r="B46" s="8" t="inlineStr">
        <is>
          <t>TMP-023</t>
        </is>
      </c>
      <c r="C46" s="8" t="inlineStr">
        <is>
          <t>Verify run parameters, concurrency, retries, and task dependencies</t>
        </is>
      </c>
      <c r="D46" s="8" t="inlineStr">
        <is>
          <t>Completed evidence for verify run parameters, concurrency, retries, and task dependencies</t>
        </is>
      </c>
      <c r="E46" s="8" t="inlineStr">
        <is>
          <t>Parent story and its predecessors</t>
        </is>
      </c>
    </row>
    <row r="47" ht="34" customHeight="1">
      <c r="A47" s="9" t="inlineStr">
        <is>
          <t>TMP-023-ST02</t>
        </is>
      </c>
      <c r="B47" s="9" t="inlineStr">
        <is>
          <t>TMP-023</t>
        </is>
      </c>
      <c r="C47" s="9" t="inlineStr">
        <is>
          <t>Document schedule gate and manual recovery controls</t>
        </is>
      </c>
      <c r="D47" s="9" t="inlineStr">
        <is>
          <t>Completed evidence for document schedule gate and manual recovery controls</t>
        </is>
      </c>
      <c r="E47" s="9" t="inlineStr">
        <is>
          <t>Parent story and its predecessors</t>
        </is>
      </c>
    </row>
    <row r="48" ht="34" customHeight="1">
      <c r="A48" s="8" t="inlineStr">
        <is>
          <t>TMP-024-ST01</t>
        </is>
      </c>
      <c r="B48" s="8" t="inlineStr">
        <is>
          <t>TMP-024</t>
        </is>
      </c>
      <c r="C48" s="8" t="inlineStr">
        <is>
          <t>Define alert rules, support rota, and escalation process</t>
        </is>
      </c>
      <c r="D48" s="8" t="inlineStr">
        <is>
          <t>Completed evidence for define alert rules, support rota, and escalation process</t>
        </is>
      </c>
      <c r="E48" s="8" t="inlineStr">
        <is>
          <t>Parent story and its predecessors</t>
        </is>
      </c>
    </row>
    <row r="49" ht="34" customHeight="1">
      <c r="A49" s="9" t="inlineStr">
        <is>
          <t>TMP-024-ST02</t>
        </is>
      </c>
      <c r="B49" s="9" t="inlineStr">
        <is>
          <t>TMP-024</t>
        </is>
      </c>
      <c r="C49" s="9" t="inlineStr">
        <is>
          <t>Write recovery/runbook and conduct handover walkthrough</t>
        </is>
      </c>
      <c r="D49" s="9" t="inlineStr">
        <is>
          <t>Completed evidence for write recovery/runbook and conduct handover walkthrough</t>
        </is>
      </c>
      <c r="E49" s="9" t="inlineStr">
        <is>
          <t>Parent story and its predecessors</t>
        </is>
      </c>
    </row>
  </sheetData>
  <autoFilter ref="A1:E49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10" customWidth="1" min="4" max="4"/>
  </cols>
  <sheetData>
    <row r="1" ht="34" customHeight="1">
      <c r="A1" s="7" t="inlineStr">
        <is>
          <t>Story ID</t>
        </is>
      </c>
      <c r="B1" s="7" t="inlineStr">
        <is>
          <t>Story title</t>
        </is>
      </c>
      <c r="C1" s="7" t="inlineStr">
        <is>
          <t>AC #</t>
        </is>
      </c>
      <c r="D1" s="7" t="inlineStr">
        <is>
          <t>Testable acceptance criterion</t>
        </is>
      </c>
    </row>
    <row r="2" ht="34" customHeight="1">
      <c r="A2" s="8" t="inlineStr">
        <is>
          <t>TMP-001</t>
        </is>
      </c>
      <c r="B2" s="8" t="inlineStr">
        <is>
          <t>Baseline current implementation and confirm scope</t>
        </is>
      </c>
      <c r="C2" s="8" t="n">
        <v>1</v>
      </c>
      <c r="D2" s="8" t="inlineStr">
        <is>
          <t>Inventory covers all six workflow tasks, 10 physical tables, two notebooks, Bundle targets, and test evidence.</t>
        </is>
      </c>
    </row>
    <row r="3" ht="34" customHeight="1">
      <c r="A3" s="9" t="inlineStr">
        <is>
          <t>TMP-001</t>
        </is>
      </c>
      <c r="B3" s="9" t="inlineStr">
        <is>
          <t>Baseline current implementation and confirm scope</t>
        </is>
      </c>
      <c r="C3" s="9" t="n">
        <v>2</v>
      </c>
      <c r="D3" s="9" t="inlineStr">
        <is>
          <t>Every capability is labelled implemented, partial, planned, or to be confirmed with a repository evidence reference.</t>
        </is>
      </c>
    </row>
    <row r="4" ht="34" customHeight="1">
      <c r="A4" s="8" t="inlineStr">
        <is>
          <t>TMP-001</t>
        </is>
      </c>
      <c r="B4" s="8" t="inlineStr">
        <is>
          <t>Baseline current implementation and confirm scope</t>
        </is>
      </c>
      <c r="C4" s="8" t="n">
        <v>3</v>
      </c>
      <c r="D4" s="8" t="inlineStr">
        <is>
          <t>Business owner confirms prototype scope and named decision owners before Sprint 2 exit.</t>
        </is>
      </c>
    </row>
    <row r="5" ht="34" customHeight="1">
      <c r="A5" s="9" t="inlineStr">
        <is>
          <t>TMP-002</t>
        </is>
      </c>
      <c r="B5" s="9" t="inlineStr">
        <is>
          <t>Approve business and functional requirements</t>
        </is>
      </c>
      <c r="C5" s="9" t="n">
        <v>1</v>
      </c>
      <c r="D5" s="9" t="inlineStr">
        <is>
          <t>All eight business requirements have an owner, priority, acceptance evidence, and dependency.</t>
        </is>
      </c>
    </row>
    <row r="6" ht="34" customHeight="1">
      <c r="A6" s="8" t="inlineStr">
        <is>
          <t>TMP-002</t>
        </is>
      </c>
      <c r="B6" s="8" t="inlineStr">
        <is>
          <t>Approve business and functional requirements</t>
        </is>
      </c>
      <c r="C6" s="8" t="n">
        <v>2</v>
      </c>
      <c r="D6" s="8" t="inlineStr">
        <is>
          <t>All 13 functional requirements identify input, processing, output, business rule, and failure behavior.</t>
        </is>
      </c>
    </row>
    <row r="7" ht="34" customHeight="1">
      <c r="A7" s="9" t="inlineStr">
        <is>
          <t>TMP-002</t>
        </is>
      </c>
      <c r="B7" s="9" t="inlineStr">
        <is>
          <t>Approve business and functional requirements</t>
        </is>
      </c>
      <c r="C7" s="9" t="n">
        <v>3</v>
      </c>
      <c r="D7" s="9" t="inlineStr">
        <is>
          <t>Product owner records decisions or explicit TBDs; no unsupported policy is silently assumed.</t>
        </is>
      </c>
    </row>
    <row r="8" ht="34" customHeight="1">
      <c r="A8" s="8" t="inlineStr">
        <is>
          <t>TMP-003</t>
        </is>
      </c>
      <c r="B8" s="8" t="inlineStr">
        <is>
          <t>Set measurable non-functional and operational targets</t>
        </is>
      </c>
      <c r="C8" s="8" t="n">
        <v>1</v>
      </c>
      <c r="D8" s="8" t="inlineStr">
        <is>
          <t>NFR-01..10 each has a confirmed target or named owner and due date for TBD.</t>
        </is>
      </c>
    </row>
    <row r="9" ht="34" customHeight="1">
      <c r="A9" s="9" t="inlineStr">
        <is>
          <t>TMP-003</t>
        </is>
      </c>
      <c r="B9" s="9" t="inlineStr">
        <is>
          <t>Set measurable non-functional and operational targets</t>
        </is>
      </c>
      <c r="C9" s="9" t="n">
        <v>2</v>
      </c>
      <c r="D9" s="9" t="inlineStr">
        <is>
          <t>Performance baseline includes representative row counts, symbols, runtime, and cost.</t>
        </is>
      </c>
    </row>
    <row r="10" ht="34" customHeight="1">
      <c r="A10" s="8" t="inlineStr">
        <is>
          <t>TMP-003</t>
        </is>
      </c>
      <c r="B10" s="8" t="inlineStr">
        <is>
          <t>Set measurable non-functional and operational targets</t>
        </is>
      </c>
      <c r="C10" s="8" t="n">
        <v>3</v>
      </c>
      <c r="D10" s="8" t="inlineStr">
        <is>
          <t>Retention, access classification, RTO/RPO, support hours, and alert response are approved or explicitly excluded from prototype.</t>
        </is>
      </c>
    </row>
    <row r="11" ht="34" customHeight="1">
      <c r="A11" s="9" t="inlineStr">
        <is>
          <t>TMP-004</t>
        </is>
      </c>
      <c r="B11" s="9" t="inlineStr">
        <is>
          <t>Document and validate existing solution architecture</t>
        </is>
      </c>
      <c r="C11" s="9" t="n">
        <v>1</v>
      </c>
      <c r="D11" s="9" t="inlineStr">
        <is>
          <t>Current architecture matches databricks.yml, job YAML, source modules, and DDL.</t>
        </is>
      </c>
    </row>
    <row r="12" ht="34" customHeight="1">
      <c r="A12" s="8" t="inlineStr">
        <is>
          <t>TMP-004</t>
        </is>
      </c>
      <c r="B12" s="8" t="inlineStr">
        <is>
          <t>Document and validate existing solution architecture</t>
        </is>
      </c>
      <c r="C12" s="8" t="n">
        <v>2</v>
      </c>
      <c r="D12" s="8" t="inlineStr">
        <is>
          <t>Trade/price parallel branches and join dependencies are accurate.</t>
        </is>
      </c>
    </row>
    <row r="13" ht="34" customHeight="1">
      <c r="A13" s="9" t="inlineStr">
        <is>
          <t>TMP-004</t>
        </is>
      </c>
      <c r="B13" s="9" t="inlineStr">
        <is>
          <t>Document and validate existing solution architecture</t>
        </is>
      </c>
      <c r="C13" s="9" t="n">
        <v>3</v>
      </c>
      <c r="D13" s="9" t="inlineStr">
        <is>
          <t>Current provider, paused schedule, dev-only target, and notebook reporting are labelled as implemented/current limitations.</t>
        </is>
      </c>
    </row>
    <row r="14" ht="34" customHeight="1">
      <c r="A14" s="8" t="inlineStr">
        <is>
          <t>TMP-005</t>
        </is>
      </c>
      <c r="B14" s="8" t="inlineStr">
        <is>
          <t>Approve target security and environment architecture</t>
        </is>
      </c>
      <c r="C14" s="8" t="n">
        <v>1</v>
      </c>
      <c r="D14" s="8" t="inlineStr">
        <is>
          <t>Environment promotion and job identity are approved by platform owner.</t>
        </is>
      </c>
    </row>
    <row r="15" ht="34" customHeight="1">
      <c r="A15" s="9" t="inlineStr">
        <is>
          <t>TMP-005</t>
        </is>
      </c>
      <c r="B15" s="9" t="inlineStr">
        <is>
          <t>Approve target security and environment architecture</t>
        </is>
      </c>
      <c r="C15" s="9" t="n">
        <v>2</v>
      </c>
      <c r="D15" s="9" t="inlineStr">
        <is>
          <t>Unity Catalog grants cover required schemas and Volume only; no secrets are committed.</t>
        </is>
      </c>
    </row>
    <row r="16" ht="34" customHeight="1">
      <c r="A16" s="8" t="inlineStr">
        <is>
          <t>TMP-005</t>
        </is>
      </c>
      <c r="B16" s="8" t="inlineStr">
        <is>
          <t>Approve target security and environment architecture</t>
        </is>
      </c>
      <c r="C16" s="8" t="n">
        <v>3</v>
      </c>
      <c r="D16" s="8" t="inlineStr">
        <is>
          <t>Architecture labels all unprovisioned targets and controls as proposed.</t>
        </is>
      </c>
    </row>
    <row r="17" ht="34" customHeight="1">
      <c r="A17" s="9" t="inlineStr">
        <is>
          <t>TMP-006</t>
        </is>
      </c>
      <c r="B17" s="9" t="inlineStr">
        <is>
          <t>Confirm trade source contract and snapshot semantics</t>
        </is>
      </c>
      <c r="C17" s="9" t="n">
        <v>1</v>
      </c>
      <c r="D17" s="9" t="inlineStr">
        <is>
          <t>Trade source owner, file schema, delivery cutoff, completeness marker, and correction/deletion semantics are recorded.</t>
        </is>
      </c>
    </row>
    <row r="18" ht="34" customHeight="1">
      <c r="A18" s="8" t="inlineStr">
        <is>
          <t>TMP-006</t>
        </is>
      </c>
      <c r="B18" s="8" t="inlineStr">
        <is>
          <t>Confirm trade source contract and snapshot semantics</t>
        </is>
      </c>
      <c r="C18" s="8" t="n">
        <v>2</v>
      </c>
      <c r="D18" s="8" t="inlineStr">
        <is>
          <t>A missing trade in a later snapshot is not treated as a cancellation without explicit business rule.</t>
        </is>
      </c>
    </row>
    <row r="19" ht="34" customHeight="1">
      <c r="A19" s="9" t="inlineStr">
        <is>
          <t>TMP-006</t>
        </is>
      </c>
      <c r="B19" s="9" t="inlineStr">
        <is>
          <t>Confirm trade source contract and snapshot semantics</t>
        </is>
      </c>
      <c r="C19" s="9" t="n">
        <v>3</v>
      </c>
      <c r="D19" s="9" t="inlineStr">
        <is>
          <t>Sample volume, retention, privacy classification, and replay window are approved or tracked as TBD.</t>
        </is>
      </c>
    </row>
    <row r="20" ht="34" customHeight="1">
      <c r="A20" s="8" t="inlineStr">
        <is>
          <t>TMP-007</t>
        </is>
      </c>
      <c r="B20" s="8" t="inlineStr">
        <is>
          <t>Select and approve market-data source</t>
        </is>
      </c>
      <c r="C20" s="8" t="n">
        <v>1</v>
      </c>
      <c r="D20" s="8" t="inlineStr">
        <is>
          <t>Provider and business owner approve data rights and use case before production.</t>
        </is>
      </c>
    </row>
    <row r="21" ht="34" customHeight="1">
      <c r="A21" s="9" t="inlineStr">
        <is>
          <t>TMP-007</t>
        </is>
      </c>
      <c r="B21" s="9" t="inlineStr">
        <is>
          <t>Select and approve market-data source</t>
        </is>
      </c>
      <c r="C21" s="9" t="n">
        <v>2</v>
      </c>
      <c r="D21" s="9" t="inlineStr">
        <is>
          <t>Price-date/price-type/currency contract and correction policy are documented.</t>
        </is>
      </c>
    </row>
    <row r="22" ht="34" customHeight="1">
      <c r="A22" s="8" t="inlineStr">
        <is>
          <t>TMP-007</t>
        </is>
      </c>
      <c r="B22" s="8" t="inlineStr">
        <is>
          <t>Select and approve market-data source</t>
        </is>
      </c>
      <c r="C22" s="8" t="n">
        <v>3</v>
      </c>
      <c r="D22" s="8" t="inlineStr">
        <is>
          <t>Daily availability and expected-session completeness thresholds have named owners.</t>
        </is>
      </c>
    </row>
    <row r="23" ht="34" customHeight="1">
      <c r="A23" s="9" t="inlineStr">
        <is>
          <t>TMP-008</t>
        </is>
      </c>
      <c r="B23" s="9" t="inlineStr">
        <is>
          <t>Approve physical data dictionary and retention model</t>
        </is>
      </c>
      <c r="C23" s="9" t="n">
        <v>1</v>
      </c>
      <c r="D23" s="9" t="inlineStr">
        <is>
          <t>Data dictionary lists every column and exact DDL type/nullability for all 10 tables.</t>
        </is>
      </c>
    </row>
    <row r="24" ht="34" customHeight="1">
      <c r="A24" s="8" t="inlineStr">
        <is>
          <t>TMP-008</t>
        </is>
      </c>
      <c r="B24" s="8" t="inlineStr">
        <is>
          <t>Approve physical data dictionary and retention model</t>
        </is>
      </c>
      <c r="C24" s="8" t="n">
        <v>2</v>
      </c>
      <c r="D24" s="8" t="inlineStr">
        <is>
          <t>Business owner approves table grain and logical key assumptions.</t>
        </is>
      </c>
    </row>
    <row r="25" ht="34" customHeight="1">
      <c r="A25" s="9" t="inlineStr">
        <is>
          <t>TMP-008</t>
        </is>
      </c>
      <c r="B25" s="9" t="inlineStr">
        <is>
          <t>Approve physical data dictionary and retention model</t>
        </is>
      </c>
      <c r="C25" s="9" t="n">
        <v>3</v>
      </c>
      <c r="D25" s="9" t="inlineStr">
        <is>
          <t>Partitioning/clustering remains absent unless measured query patterns justify it.</t>
        </is>
      </c>
    </row>
    <row r="26" ht="34" customHeight="1">
      <c r="A26" s="8" t="inlineStr">
        <is>
          <t>TMP-008</t>
        </is>
      </c>
      <c r="B26" s="8" t="inlineStr">
        <is>
          <t>Approve physical data dictionary and retention model</t>
        </is>
      </c>
      <c r="C26" s="8" t="n">
        <v>4</v>
      </c>
      <c r="D26" s="8" t="inlineStr">
        <is>
          <t>Retention and Delta cleanup policy are approved before any production purge/optimization.</t>
        </is>
      </c>
    </row>
    <row r="27" ht="34" customHeight="1">
      <c r="A27" s="9" t="inlineStr">
        <is>
          <t>TMP-009</t>
        </is>
      </c>
      <c r="B27" s="9" t="inlineStr">
        <is>
          <t>Maintain reproducible Databricks Asset Bundle development deployment</t>
        </is>
      </c>
      <c r="C27" s="9" t="n">
        <v>1</v>
      </c>
      <c r="D27" s="9" t="inlineStr">
        <is>
          <t>Bundle validation succeeds with the documented dev target and CLI profile.</t>
        </is>
      </c>
    </row>
    <row r="28" ht="34" customHeight="1">
      <c r="A28" s="8" t="inlineStr">
        <is>
          <t>TMP-009</t>
        </is>
      </c>
      <c r="B28" s="8" t="inlineStr">
        <is>
          <t>Maintain reproducible Databricks Asset Bundle development deployment</t>
        </is>
      </c>
      <c r="C28" s="8" t="n">
        <v>2</v>
      </c>
      <c r="D28" s="8" t="inlineStr">
        <is>
          <t>Wheel contains all six entry points and deploy uses repository source.</t>
        </is>
      </c>
    </row>
    <row r="29" ht="34" customHeight="1">
      <c r="A29" s="9" t="inlineStr">
        <is>
          <t>TMP-009</t>
        </is>
      </c>
      <c r="B29" s="9" t="inlineStr">
        <is>
          <t>Maintain reproducible Databricks Asset Bundle development deployment</t>
        </is>
      </c>
      <c r="C29" s="9" t="n">
        <v>3</v>
      </c>
      <c r="D29" s="9" t="inlineStr">
        <is>
          <t>Manual smoke run evidence is attached; no production readiness is inferred.</t>
        </is>
      </c>
    </row>
    <row r="30" ht="34" customHeight="1">
      <c r="A30" s="8" t="inlineStr">
        <is>
          <t>TMP-010</t>
        </is>
      </c>
      <c r="B30" s="8" t="inlineStr">
        <is>
          <t>Add reviewed CI checks and controlled deployment promotion</t>
        </is>
      </c>
      <c r="C30" s="8" t="n">
        <v>1</v>
      </c>
      <c r="D30" s="8" t="inlineStr">
        <is>
          <t>Pull request CI runs deterministic local tests and Bundle validation without credentials in logs.</t>
        </is>
      </c>
    </row>
    <row r="31" ht="34" customHeight="1">
      <c r="A31" s="9" t="inlineStr">
        <is>
          <t>TMP-010</t>
        </is>
      </c>
      <c r="B31" s="9" t="inlineStr">
        <is>
          <t>Add reviewed CI checks and controlled deployment promotion</t>
        </is>
      </c>
      <c r="C31" s="9" t="n">
        <v>2</v>
      </c>
      <c r="D31" s="9" t="inlineStr">
        <is>
          <t>Deployment artifact/version is traceable to reviewed source revision.</t>
        </is>
      </c>
    </row>
    <row r="32" ht="34" customHeight="1">
      <c r="A32" s="8" t="inlineStr">
        <is>
          <t>TMP-010</t>
        </is>
      </c>
      <c r="B32" s="8" t="inlineStr">
        <is>
          <t>Add reviewed CI checks and controlled deployment promotion</t>
        </is>
      </c>
      <c r="C32" s="8" t="n">
        <v>3</v>
      </c>
      <c r="D32" s="8" t="inlineStr">
        <is>
          <t>Promotion cannot unpause a schedule or deploy to an unapproved target without explicit approval.</t>
        </is>
      </c>
    </row>
    <row r="33" ht="34" customHeight="1">
      <c r="A33" s="9" t="inlineStr">
        <is>
          <t>TMP-011</t>
        </is>
      </c>
      <c r="B33" s="9" t="inlineStr">
        <is>
          <t>Ingest synthetic trade snapshot into Bronze</t>
        </is>
      </c>
      <c r="C33" s="9" t="n">
        <v>1</v>
      </c>
      <c r="D33" s="9" t="inlineStr">
        <is>
          <t>Exact schema, empty-file, and malformed-row cases are tested.</t>
        </is>
      </c>
    </row>
    <row r="34" ht="34" customHeight="1">
      <c r="A34" s="8" t="inlineStr">
        <is>
          <t>TMP-011</t>
        </is>
      </c>
      <c r="B34" s="8" t="inlineStr">
        <is>
          <t>Ingest synthetic trade snapshot into Bronze</t>
        </is>
      </c>
      <c r="C34" s="8" t="n">
        <v>2</v>
      </c>
      <c r="D34" s="8" t="inlineStr">
        <is>
          <t>Identical in-batch records are removed; versions of a trade remain present.</t>
        </is>
      </c>
    </row>
    <row r="35" ht="34" customHeight="1">
      <c r="A35" s="9" t="inlineStr">
        <is>
          <t>TMP-011</t>
        </is>
      </c>
      <c r="B35" s="9" t="inlineStr">
        <is>
          <t>Ingest synthetic trade snapshot into Bronze</t>
        </is>
      </c>
      <c r="C35" s="9" t="n">
        <v>3</v>
      </c>
      <c r="D35" s="9" t="inlineStr">
        <is>
          <t>Invalid file never overwrites existing Bronze; valid rerun yields same business rows.</t>
        </is>
      </c>
    </row>
    <row r="36" ht="34" customHeight="1">
      <c r="A36" s="8" t="inlineStr">
        <is>
          <t>TMP-012</t>
        </is>
      </c>
      <c r="B36" s="8" t="inlineStr">
        <is>
          <t>Resolve trade snapshot disappearance and historical correction controls</t>
        </is>
      </c>
      <c r="C36" s="8" t="n">
        <v>1</v>
      </c>
      <c r="D36" s="8" t="inlineStr">
        <is>
          <t>Trade owner approves semantics for missing trade IDs, cancellation, and correction.</t>
        </is>
      </c>
    </row>
    <row r="37" ht="34" customHeight="1">
      <c r="A37" s="9" t="inlineStr">
        <is>
          <t>TMP-012</t>
        </is>
      </c>
      <c r="B37" s="9" t="inlineStr">
        <is>
          <t>Resolve trade snapshot disappearance and historical correction controls</t>
        </is>
      </c>
      <c r="C37" s="9" t="n">
        <v>2</v>
      </c>
      <c r="D37" s="9" t="inlineStr">
        <is>
          <t>A two-snapshot test proves accepted Silver matches the agreed authoritative source state.</t>
        </is>
      </c>
    </row>
    <row r="38" ht="34" customHeight="1">
      <c r="A38" s="8" t="inlineStr">
        <is>
          <t>TMP-012</t>
        </is>
      </c>
      <c r="B38" s="8" t="inlineStr">
        <is>
          <t>Resolve trade snapshot disappearance and historical correction controls</t>
        </is>
      </c>
      <c r="C38" s="8" t="n">
        <v>3</v>
      </c>
      <c r="D38" s="8" t="inlineStr">
        <is>
          <t>Backdated corrections are traceable and recompute the intended history without unrelated deletes.</t>
        </is>
      </c>
    </row>
    <row r="39" ht="34" customHeight="1">
      <c r="A39" s="9" t="inlineStr">
        <is>
          <t>TMP-013</t>
        </is>
      </c>
      <c r="B39" s="9" t="inlineStr">
        <is>
          <t>Ingest and retain daily market-price history</t>
        </is>
      </c>
      <c r="C39" s="9" t="n">
        <v>1</v>
      </c>
      <c r="D39" s="9" t="inlineStr">
        <is>
          <t>Default symbols, date boundaries, provider response variants, NaN, duplicate keys, and retry errors have deterministic tests.</t>
        </is>
      </c>
    </row>
    <row r="40" ht="34" customHeight="1">
      <c r="A40" s="8" t="inlineStr">
        <is>
          <t>TMP-013</t>
        </is>
      </c>
      <c r="B40" s="8" t="inlineStr">
        <is>
          <t>Ingest and retain daily market-price history</t>
        </is>
      </c>
      <c r="C40" s="8" t="n">
        <v>2</v>
      </c>
      <c r="D40" s="8" t="inlineStr">
        <is>
          <t>Price rows carry source, currency, ingestion timestamp, and run lineage.</t>
        </is>
      </c>
    </row>
    <row r="41" ht="34" customHeight="1">
      <c r="A41" s="9" t="inlineStr">
        <is>
          <t>TMP-013</t>
        </is>
      </c>
      <c r="B41" s="9" t="inlineStr">
        <is>
          <t>Ingest and retain daily market-price history</t>
        </is>
      </c>
      <c r="C41" s="9" t="n">
        <v>3</v>
      </c>
      <c r="D41" s="9" t="inlineStr">
        <is>
          <t>Provider limitations and data rights are explicit in the source contract.</t>
        </is>
      </c>
    </row>
    <row r="42" ht="34" customHeight="1">
      <c r="A42" s="8" t="inlineStr">
        <is>
          <t>TMP-014</t>
        </is>
      </c>
      <c r="B42" s="8" t="inlineStr">
        <is>
          <t>Harden price source decision and completeness exception process</t>
        </is>
      </c>
      <c r="C42" s="8" t="n">
        <v>1</v>
      </c>
      <c r="D42" s="8" t="inlineStr">
        <is>
          <t>Missing expected session is tied to symbol/date and owner; no stale price is used for position valuation.</t>
        </is>
      </c>
    </row>
    <row r="43" ht="34" customHeight="1">
      <c r="A43" s="9" t="inlineStr">
        <is>
          <t>TMP-014</t>
        </is>
      </c>
      <c r="B43" s="9" t="inlineStr">
        <is>
          <t>Harden price source decision and completeness exception process</t>
        </is>
      </c>
      <c r="C43" s="9" t="n">
        <v>2</v>
      </c>
      <c r="D43" s="9" t="inlineStr">
        <is>
          <t>Test fixtures are deterministic and cannot be mistaken for production source data.</t>
        </is>
      </c>
    </row>
    <row r="44" ht="34" customHeight="1">
      <c r="A44" s="8" t="inlineStr">
        <is>
          <t>TMP-014</t>
        </is>
      </c>
      <c r="B44" s="8" t="inlineStr">
        <is>
          <t>Harden price source decision and completeness exception process</t>
        </is>
      </c>
      <c r="C44" s="8" t="n">
        <v>3</v>
      </c>
      <c r="D44" s="8" t="inlineStr">
        <is>
          <t>Approved provider/credentials, rate limits, correction policy, and retries are configured outside source code where required.</t>
        </is>
      </c>
    </row>
    <row r="45" ht="34" customHeight="1">
      <c r="A45" s="9" t="inlineStr">
        <is>
          <t>TMP-015</t>
        </is>
      </c>
      <c r="B45" s="9" t="inlineStr">
        <is>
          <t>Validate Silver trades and prices with reject history</t>
        </is>
      </c>
      <c r="C45" s="9" t="n">
        <v>1</v>
      </c>
      <c r="D45" s="9" t="inlineStr">
        <is>
          <t>Trade and price fixtures cover configured rules and reason codes.</t>
        </is>
      </c>
    </row>
    <row r="46" ht="34" customHeight="1">
      <c r="A46" s="8" t="inlineStr">
        <is>
          <t>TMP-015</t>
        </is>
      </c>
      <c r="B46" s="8" t="inlineStr">
        <is>
          <t>Validate Silver trades and prices with reject history</t>
        </is>
      </c>
      <c r="C46" s="8" t="n">
        <v>2</v>
      </c>
      <c r="D46" s="8" t="inlineStr">
        <is>
          <t>Silver trade business key is trade_id; price key is symbol + price_date.</t>
        </is>
      </c>
    </row>
    <row r="47" ht="34" customHeight="1">
      <c r="A47" s="9" t="inlineStr">
        <is>
          <t>TMP-015</t>
        </is>
      </c>
      <c r="B47" s="9" t="inlineStr">
        <is>
          <t>Validate Silver trades and prices with reject history</t>
        </is>
      </c>
      <c r="C47" s="9" t="n">
        <v>3</v>
      </c>
      <c r="D47" s="9" t="inlineStr">
        <is>
          <t>Reject writes are idempotent and preserve raw source fields/lineage; missing expected price blocks Silver update.</t>
        </is>
      </c>
    </row>
    <row r="48" ht="34" customHeight="1">
      <c r="A48" s="8" t="inlineStr">
        <is>
          <t>TMP-016</t>
        </is>
      </c>
      <c r="B48" s="8" t="inlineStr">
        <is>
          <t>Run Spark/Delta integration and end-to-end rerun validation</t>
        </is>
      </c>
      <c r="C48" s="8" t="n">
        <v>1</v>
      </c>
      <c r="D48" s="8" t="inlineStr">
        <is>
          <t>Spark/Delta integration suite runs in a supported CI or Databricks test environment and results are retained.</t>
        </is>
      </c>
    </row>
    <row r="49" ht="34" customHeight="1">
      <c r="A49" s="9" t="inlineStr">
        <is>
          <t>TMP-016</t>
        </is>
      </c>
      <c r="B49" s="9" t="inlineStr">
        <is>
          <t>Run Spark/Delta integration and end-to-end rerun validation</t>
        </is>
      </c>
      <c r="C49" s="9" t="n">
        <v>2</v>
      </c>
      <c r="D49" s="9" t="inlineStr">
        <is>
          <t>A second complete run with the same inputs verifies stable business keys/values and expected audit history growth.</t>
        </is>
      </c>
    </row>
    <row r="50" ht="34" customHeight="1">
      <c r="A50" s="8" t="inlineStr">
        <is>
          <t>TMP-016</t>
        </is>
      </c>
      <c r="B50" s="8" t="inlineStr">
        <is>
          <t>Run Spark/Delta integration and end-to-end rerun validation</t>
        </is>
      </c>
      <c r="C50" s="8" t="n">
        <v>3</v>
      </c>
      <c r="D50" s="8" t="inlineStr">
        <is>
          <t>Failure injection confirms no unsafe publication and a documented rerun recovers the task.</t>
        </is>
      </c>
    </row>
    <row r="51" ht="34" customHeight="1">
      <c r="A51" s="9" t="inlineStr">
        <is>
          <t>TMP-017</t>
        </is>
      </c>
      <c r="B51" s="9" t="inlineStr">
        <is>
          <t>Build cumulative daily positions and exact-date valuation</t>
        </is>
      </c>
      <c r="C51" s="9" t="n">
        <v>1</v>
      </c>
      <c r="D51" s="9" t="inlineStr">
        <is>
          <t>Position grain and key match the approved dictionary.</t>
        </is>
      </c>
    </row>
    <row r="52" ht="34" customHeight="1">
      <c r="A52" s="8" t="inlineStr">
        <is>
          <t>TMP-017</t>
        </is>
      </c>
      <c r="B52" s="8" t="inlineStr">
        <is>
          <t>Build cumulative daily positions and exact-date valuation</t>
        </is>
      </c>
      <c r="C52" s="8" t="n">
        <v>2</v>
      </c>
      <c r="D52" s="8" t="inlineStr">
        <is>
          <t>Daily buys, sells, net, closing quantity, close, and market value reconcile to independent calculations.</t>
        </is>
      </c>
    </row>
    <row r="53" ht="34" customHeight="1">
      <c r="A53" s="9" t="inlineStr">
        <is>
          <t>TMP-017</t>
        </is>
      </c>
      <c r="B53" s="9" t="inlineStr">
        <is>
          <t>Build cumulative daily positions and exact-date valuation</t>
        </is>
      </c>
      <c r="C53" s="9" t="n">
        <v>3</v>
      </c>
      <c r="D53" s="9" t="inlineStr">
        <is>
          <t>Missing same-day price leaves price/value NULL and creates a break without changing quantity.</t>
        </is>
      </c>
    </row>
    <row r="54" ht="34" customHeight="1">
      <c r="A54" s="8" t="inlineStr">
        <is>
          <t>TMP-018</t>
        </is>
      </c>
      <c r="B54" s="8" t="inlineStr">
        <is>
          <t>Calculate daily cash-equity mark-to-market P&amp;L</t>
        </is>
      </c>
      <c r="C54" s="8" t="n">
        <v>1</v>
      </c>
      <c r="D54" s="8" t="inlineStr">
        <is>
          <t>Daily output grain is valuation_date + book_id + symbol + currency.</t>
        </is>
      </c>
    </row>
    <row r="55" ht="34" customHeight="1">
      <c r="A55" s="9" t="inlineStr">
        <is>
          <t>TMP-018</t>
        </is>
      </c>
      <c r="B55" s="9" t="inlineStr">
        <is>
          <t>Calculate daily cash-equity mark-to-market P&amp;L</t>
        </is>
      </c>
      <c r="C55" s="9" t="n">
        <v>2</v>
      </c>
      <c r="D55" s="9" t="inlineStr">
        <is>
          <t>Price movement and trade-day terms reconcile independently, including sells, new/flat positions, prior-close baseline, and missing prices.</t>
        </is>
      </c>
    </row>
    <row r="56" ht="34" customHeight="1">
      <c r="A56" s="8" t="inlineStr">
        <is>
          <t>TMP-018</t>
        </is>
      </c>
      <c r="B56" s="8" t="inlineStr">
        <is>
          <t>Calculate daily cash-equity mark-to-market P&amp;L</t>
        </is>
      </c>
      <c r="C56" s="8" t="n">
        <v>3</v>
      </c>
      <c r="D56" s="8" t="inlineStr">
        <is>
          <t>unrealized_pnl_proxy is clearly labelled as a cumulative proxy and is not presented as true unrealized P&amp;L.</t>
        </is>
      </c>
    </row>
    <row r="57" ht="34" customHeight="1">
      <c r="A57" s="9" t="inlineStr">
        <is>
          <t>TMP-019</t>
        </is>
      </c>
      <c r="B57" s="9" t="inlineStr">
        <is>
          <t>Provide notebook and SQL operational reporting</t>
        </is>
      </c>
      <c r="C57" s="9" t="n">
        <v>1</v>
      </c>
      <c r="D57" s="9" t="inlineStr">
        <is>
          <t>Run report identifies audit-derived status and clearly marks unavailable counts.</t>
        </is>
      </c>
    </row>
    <row r="58" ht="34" customHeight="1">
      <c r="A58" s="8" t="inlineStr">
        <is>
          <t>TMP-019</t>
        </is>
      </c>
      <c r="B58" s="8" t="inlineStr">
        <is>
          <t>Provide notebook and SQL operational reporting</t>
        </is>
      </c>
      <c r="C58" s="8" t="n">
        <v>2</v>
      </c>
      <c r="D58" s="8" t="inlineStr">
        <is>
          <t>Notebook output is read-only and totals reconcile to source tables.</t>
        </is>
      </c>
    </row>
    <row r="59" ht="34" customHeight="1">
      <c r="A59" s="9" t="inlineStr">
        <is>
          <t>TMP-019</t>
        </is>
      </c>
      <c r="B59" s="9" t="inlineStr">
        <is>
          <t>Provide notebook and SQL operational reporting</t>
        </is>
      </c>
      <c r="C59" s="9" t="n">
        <v>3</v>
      </c>
      <c r="D59" s="9" t="inlineStr">
        <is>
          <t>Report states that scheduled-run completeness is not evaluated and dashboard is not implemented.</t>
        </is>
      </c>
    </row>
    <row r="60" ht="34" customHeight="1">
      <c r="A60" s="8" t="inlineStr">
        <is>
          <t>TMP-020</t>
        </is>
      </c>
      <c r="B60" s="8" t="inlineStr">
        <is>
          <t>Deliver user-accepted trading and P&amp;L dashboard MVP</t>
        </is>
      </c>
      <c r="C60" s="8" t="n">
        <v>1</v>
      </c>
      <c r="D60" s="8" t="inlineStr">
        <is>
          <t>Product owner signs off audience, filters, date/book/symbol dimensions, and exception drill-through.</t>
        </is>
      </c>
    </row>
    <row r="61" ht="34" customHeight="1">
      <c r="A61" s="9" t="inlineStr">
        <is>
          <t>TMP-020</t>
        </is>
      </c>
      <c r="B61" s="9" t="inlineStr">
        <is>
          <t>Deliver user-accepted trading and P&amp;L dashboard MVP</t>
        </is>
      </c>
      <c r="C61" s="9" t="n">
        <v>2</v>
      </c>
      <c r="D61" s="9" t="inlineStr">
        <is>
          <t>Dashboard totals reconcile to Gold daily_pnl and positions for agreed test dates.</t>
        </is>
      </c>
    </row>
    <row r="62" ht="34" customHeight="1">
      <c r="A62" s="8" t="inlineStr">
        <is>
          <t>TMP-020</t>
        </is>
      </c>
      <c r="B62" s="8" t="inlineStr">
        <is>
          <t>Deliver user-accepted trading and P&amp;L dashboard MVP</t>
        </is>
      </c>
      <c r="C62" s="8" t="n">
        <v>3</v>
      </c>
      <c r="D62" s="8" t="inlineStr">
        <is>
          <t>Dashboard access is least privilege and deployment is repeatable; no dashboard is reported as live before sign-off.</t>
        </is>
      </c>
    </row>
    <row r="63" ht="34" customHeight="1">
      <c r="A63" s="9" t="inlineStr">
        <is>
          <t>TMP-021</t>
        </is>
      </c>
      <c r="B63" s="9" t="inlineStr">
        <is>
          <t>Maintain deterministic unit and transformation tests</t>
        </is>
      </c>
      <c r="C63" s="9" t="n">
        <v>1</v>
      </c>
      <c r="D63" s="9" t="inlineStr">
        <is>
          <t>Business-rule tests include correction, duplicate, calendar, missing price, short position, and P&amp;L decomposition cases.</t>
        </is>
      </c>
    </row>
    <row r="64" ht="34" customHeight="1">
      <c r="A64" s="8" t="inlineStr">
        <is>
          <t>TMP-021</t>
        </is>
      </c>
      <c r="B64" s="8" t="inlineStr">
        <is>
          <t>Maintain deterministic unit and transformation tests</t>
        </is>
      </c>
      <c r="C64" s="8" t="n">
        <v>2</v>
      </c>
      <c r="D64" s="8" t="inlineStr">
        <is>
          <t>CI reports skips separately from passes and does not treat unavailable Spark tests as verified.</t>
        </is>
      </c>
    </row>
    <row r="65" ht="34" customHeight="1">
      <c r="A65" s="9" t="inlineStr">
        <is>
          <t>TMP-021</t>
        </is>
      </c>
      <c r="B65" s="9" t="inlineStr">
        <is>
          <t>Maintain deterministic unit and transformation tests</t>
        </is>
      </c>
      <c r="C65" s="9" t="n">
        <v>3</v>
      </c>
      <c r="D65" s="9" t="inlineStr">
        <is>
          <t>Replace stale test references with the consolidated Silver DDL and verify its CHECK constraints.</t>
        </is>
      </c>
    </row>
    <row r="66" ht="34" customHeight="1">
      <c r="A66" s="8" t="inlineStr">
        <is>
          <t>TMP-021</t>
        </is>
      </c>
      <c r="B66" s="8" t="inlineStr">
        <is>
          <t>Maintain deterministic unit and transformation tests</t>
        </is>
      </c>
      <c r="C66" s="8" t="n">
        <v>4</v>
      </c>
      <c r="D66" s="8" t="inlineStr">
        <is>
          <t>New failures are triaged against the baseline; no unrelated failures are silently waived.</t>
        </is>
      </c>
    </row>
    <row r="67" ht="34" customHeight="1">
      <c r="A67" s="9" t="inlineStr">
        <is>
          <t>TMP-022</t>
        </is>
      </c>
      <c r="B67" s="9" t="inlineStr">
        <is>
          <t>Complete independent position/P&amp;L reconciliation and UAT</t>
        </is>
      </c>
      <c r="C67" s="9" t="n">
        <v>1</v>
      </c>
      <c r="D67" s="9" t="inlineStr">
        <is>
          <t>Trade-to-position quantities reconcile by date/book/counterparty/instrument.</t>
        </is>
      </c>
    </row>
    <row r="68" ht="34" customHeight="1">
      <c r="A68" s="8" t="inlineStr">
        <is>
          <t>TMP-022</t>
        </is>
      </c>
      <c r="B68" s="8" t="inlineStr">
        <is>
          <t>Complete independent position/P&amp;L reconciliation and UAT</t>
        </is>
      </c>
      <c r="C68" s="8" t="n">
        <v>2</v>
      </c>
      <c r="D68" s="8" t="inlineStr">
        <is>
          <t>Position market value and daily P&amp;L reconcile using approved close/baseline/trade cash-flow methodology.</t>
        </is>
      </c>
    </row>
    <row r="69" ht="34" customHeight="1">
      <c r="A69" s="9" t="inlineStr">
        <is>
          <t>TMP-022</t>
        </is>
      </c>
      <c r="B69" s="9" t="inlineStr">
        <is>
          <t>Complete independent position/P&amp;L reconciliation and UAT</t>
        </is>
      </c>
      <c r="C69" s="9" t="n">
        <v>3</v>
      </c>
      <c r="D69" s="9" t="inlineStr">
        <is>
          <t>Business owner signs UAT evidence for representative long, short, flat, correction, and missing-price cases.</t>
        </is>
      </c>
    </row>
    <row r="70" ht="34" customHeight="1">
      <c r="A70" s="8" t="inlineStr">
        <is>
          <t>TMP-022</t>
        </is>
      </c>
      <c r="B70" s="8" t="inlineStr">
        <is>
          <t>Complete independent position/P&amp;L reconciliation and UAT</t>
        </is>
      </c>
      <c r="C70" s="8" t="n">
        <v>4</v>
      </c>
      <c r="D70" s="8" t="inlineStr">
        <is>
          <t>A complete same-input rerun has recorded evidence; do not rely only on unit tests.</t>
        </is>
      </c>
    </row>
    <row r="71" ht="34" customHeight="1">
      <c r="A71" s="9" t="inlineStr">
        <is>
          <t>TMP-023</t>
        </is>
      </c>
      <c r="B71" s="9" t="inlineStr">
        <is>
          <t>Operate the dev workflow with controlled scheduling</t>
        </is>
      </c>
      <c r="C71" s="9" t="n">
        <v>1</v>
      </c>
      <c r="D71" s="9" t="inlineStr">
        <is>
          <t>Manual run and failure states are visible in Job UI and audit tables.</t>
        </is>
      </c>
    </row>
    <row r="72" ht="34" customHeight="1">
      <c r="A72" s="8" t="inlineStr">
        <is>
          <t>TMP-023</t>
        </is>
      </c>
      <c r="B72" s="8" t="inlineStr">
        <is>
          <t>Operate the dev workflow with controlled scheduling</t>
        </is>
      </c>
      <c r="C72" s="8" t="n">
        <v>2</v>
      </c>
      <c r="D72" s="8" t="inlineStr">
        <is>
          <t>Schedule remains paused until source owner, support contact, permissions, runbook, and alert path are approved.</t>
        </is>
      </c>
    </row>
    <row r="73" ht="34" customHeight="1">
      <c r="A73" s="9" t="inlineStr">
        <is>
          <t>TMP-023</t>
        </is>
      </c>
      <c r="B73" s="9" t="inlineStr">
        <is>
          <t>Operate the dev workflow with controlled scheduling</t>
        </is>
      </c>
      <c r="C73" s="9" t="n">
        <v>3</v>
      </c>
      <c r="D73" s="9" t="inlineStr">
        <is>
          <t>Any future unpause/change is reviewed and recorded with owner and rollback path.</t>
        </is>
      </c>
    </row>
    <row r="74" ht="34" customHeight="1">
      <c r="A74" s="8" t="inlineStr">
        <is>
          <t>TMP-024</t>
        </is>
      </c>
      <c r="B74" s="8" t="inlineStr">
        <is>
          <t>Create support runbook, alerting, and handover</t>
        </is>
      </c>
      <c r="C74" s="8" t="n">
        <v>1</v>
      </c>
      <c r="D74" s="8" t="inlineStr">
        <is>
          <t>Runbook describes failed task diagnosis, source repair, safe rerun, reconciliation, and escalation owner.</t>
        </is>
      </c>
    </row>
    <row r="75" ht="34" customHeight="1">
      <c r="A75" s="9" t="inlineStr">
        <is>
          <t>TMP-024</t>
        </is>
      </c>
      <c r="B75" s="9" t="inlineStr">
        <is>
          <t>Create support runbook, alerting, and handover</t>
        </is>
      </c>
      <c r="C75" s="9" t="n">
        <v>2</v>
      </c>
      <c r="D75" s="9" t="inlineStr">
        <is>
          <t>Alert criteria and response targets are approved and tested; proposed five-minute detection target remains proposed until measured.</t>
        </is>
      </c>
    </row>
    <row r="76" ht="34" customHeight="1">
      <c r="A76" s="8" t="inlineStr">
        <is>
          <t>TMP-024</t>
        </is>
      </c>
      <c r="B76" s="8" t="inlineStr">
        <is>
          <t>Create support runbook, alerting, and handover</t>
        </is>
      </c>
      <c r="C76" s="8" t="n">
        <v>3</v>
      </c>
      <c r="D76" s="8" t="inlineStr">
        <is>
          <t>Handover includes architecture, data contracts, access, known limitations, deployment procedure, and open risks.</t>
        </is>
      </c>
    </row>
  </sheetData>
  <autoFilter ref="A1:D76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42" customWidth="1" min="4" max="4"/>
    <col width="20" customWidth="1" min="5" max="5"/>
    <col width="82" customWidth="1" min="6" max="6"/>
  </cols>
  <sheetData>
    <row r="1" ht="34" customHeight="1">
      <c r="A1" s="7" t="inlineStr">
        <is>
          <t>Predecessor</t>
        </is>
      </c>
      <c r="B1" s="7" t="inlineStr">
        <is>
          <t>Successor</t>
        </is>
      </c>
      <c r="C1" s="7" t="inlineStr">
        <is>
          <t>Relationship</t>
        </is>
      </c>
      <c r="D1" s="7" t="inlineStr">
        <is>
          <t>Dependency type</t>
        </is>
      </c>
      <c r="E1" s="7" t="inlineStr">
        <is>
          <t>Sprint/status</t>
        </is>
      </c>
      <c r="F1" s="7" t="inlineStr">
        <is>
          <t>Rationale / expected output</t>
        </is>
      </c>
    </row>
    <row r="2" ht="34" customHeight="1">
      <c r="A2" s="8" t="inlineStr">
        <is>
          <t>TMP-001</t>
        </is>
      </c>
      <c r="B2" s="8" t="inlineStr">
        <is>
          <t>TMP-002</t>
        </is>
      </c>
      <c r="C2" s="8" t="inlineStr">
        <is>
          <t>blocks</t>
        </is>
      </c>
      <c r="D2" s="8" t="inlineStr">
        <is>
          <t>Story delivery dependency</t>
        </is>
      </c>
      <c r="E2" s="8" t="inlineStr">
        <is>
          <t>Sprint 1</t>
        </is>
      </c>
      <c r="F2" s="8" t="inlineStr">
        <is>
          <t>Predecessor output required before dependent story acceptance</t>
        </is>
      </c>
    </row>
    <row r="3" ht="34" customHeight="1">
      <c r="A3" s="9" t="inlineStr">
        <is>
          <t>TMP-002</t>
        </is>
      </c>
      <c r="B3" s="9" t="inlineStr">
        <is>
          <t>TMP-003</t>
        </is>
      </c>
      <c r="C3" s="9" t="inlineStr">
        <is>
          <t>blocks</t>
        </is>
      </c>
      <c r="D3" s="9" t="inlineStr">
        <is>
          <t>Story delivery dependency</t>
        </is>
      </c>
      <c r="E3" s="9" t="inlineStr">
        <is>
          <t>Sprint 1</t>
        </is>
      </c>
      <c r="F3" s="9" t="inlineStr">
        <is>
          <t>Predecessor output required before dependent story acceptance</t>
        </is>
      </c>
    </row>
    <row r="4" ht="34" customHeight="1">
      <c r="A4" s="8" t="inlineStr">
        <is>
          <t>TMP-002</t>
        </is>
      </c>
      <c r="B4" s="8" t="inlineStr">
        <is>
          <t>TMP-005</t>
        </is>
      </c>
      <c r="C4" s="8" t="inlineStr">
        <is>
          <t>blocks</t>
        </is>
      </c>
      <c r="D4" s="8" t="inlineStr">
        <is>
          <t>Story delivery dependency</t>
        </is>
      </c>
      <c r="E4" s="8" t="inlineStr">
        <is>
          <t>Sprint 1</t>
        </is>
      </c>
      <c r="F4" s="8" t="inlineStr">
        <is>
          <t>Predecessor output required before dependent story acceptance</t>
        </is>
      </c>
    </row>
    <row r="5" ht="34" customHeight="1">
      <c r="A5" s="9" t="inlineStr">
        <is>
          <t>TMP-003</t>
        </is>
      </c>
      <c r="B5" s="9" t="inlineStr">
        <is>
          <t>TMP-005</t>
        </is>
      </c>
      <c r="C5" s="9" t="inlineStr">
        <is>
          <t>blocks</t>
        </is>
      </c>
      <c r="D5" s="9" t="inlineStr">
        <is>
          <t>Story delivery dependency</t>
        </is>
      </c>
      <c r="E5" s="9" t="inlineStr">
        <is>
          <t>Sprint 1</t>
        </is>
      </c>
      <c r="F5" s="9" t="inlineStr">
        <is>
          <t>Predecessor output required before dependent story acceptance</t>
        </is>
      </c>
    </row>
    <row r="6" ht="34" customHeight="1">
      <c r="A6" s="8" t="inlineStr">
        <is>
          <t>TMP-004</t>
        </is>
      </c>
      <c r="B6" s="8" t="inlineStr">
        <is>
          <t>TMP-005</t>
        </is>
      </c>
      <c r="C6" s="8" t="inlineStr">
        <is>
          <t>blocks</t>
        </is>
      </c>
      <c r="D6" s="8" t="inlineStr">
        <is>
          <t>Story delivery dependency</t>
        </is>
      </c>
      <c r="E6" s="8" t="inlineStr">
        <is>
          <t>Sprint 1</t>
        </is>
      </c>
      <c r="F6" s="8" t="inlineStr">
        <is>
          <t>Predecessor output required before dependent story acceptance</t>
        </is>
      </c>
    </row>
    <row r="7" ht="34" customHeight="1">
      <c r="A7" s="9" t="inlineStr">
        <is>
          <t>TMP-002</t>
        </is>
      </c>
      <c r="B7" s="9" t="inlineStr">
        <is>
          <t>TMP-007</t>
        </is>
      </c>
      <c r="C7" s="9" t="inlineStr">
        <is>
          <t>blocks</t>
        </is>
      </c>
      <c r="D7" s="9" t="inlineStr">
        <is>
          <t>Story delivery dependency</t>
        </is>
      </c>
      <c r="E7" s="9" t="inlineStr">
        <is>
          <t>Sprint 2</t>
        </is>
      </c>
      <c r="F7" s="9" t="inlineStr">
        <is>
          <t>Predecessor output required before dependent story acceptance</t>
        </is>
      </c>
    </row>
    <row r="8" ht="34" customHeight="1">
      <c r="A8" s="8" t="inlineStr">
        <is>
          <t>TMP-006</t>
        </is>
      </c>
      <c r="B8" s="8" t="inlineStr">
        <is>
          <t>TMP-008</t>
        </is>
      </c>
      <c r="C8" s="8" t="inlineStr">
        <is>
          <t>blocks</t>
        </is>
      </c>
      <c r="D8" s="8" t="inlineStr">
        <is>
          <t>Story delivery dependency</t>
        </is>
      </c>
      <c r="E8" s="8" t="inlineStr">
        <is>
          <t>Sprint 2</t>
        </is>
      </c>
      <c r="F8" s="8" t="inlineStr">
        <is>
          <t>Predecessor output required before dependent story acceptance</t>
        </is>
      </c>
    </row>
    <row r="9" ht="34" customHeight="1">
      <c r="A9" s="9" t="inlineStr">
        <is>
          <t>TMP-007</t>
        </is>
      </c>
      <c r="B9" s="9" t="inlineStr">
        <is>
          <t>TMP-008</t>
        </is>
      </c>
      <c r="C9" s="9" t="inlineStr">
        <is>
          <t>blocks</t>
        </is>
      </c>
      <c r="D9" s="9" t="inlineStr">
        <is>
          <t>Story delivery dependency</t>
        </is>
      </c>
      <c r="E9" s="9" t="inlineStr">
        <is>
          <t>Sprint 2</t>
        </is>
      </c>
      <c r="F9" s="9" t="inlineStr">
        <is>
          <t>Predecessor output required before dependent story acceptance</t>
        </is>
      </c>
    </row>
    <row r="10" ht="34" customHeight="1">
      <c r="A10" s="8" t="inlineStr">
        <is>
          <t>TMP-005</t>
        </is>
      </c>
      <c r="B10" s="8" t="inlineStr">
        <is>
          <t>TMP-010</t>
        </is>
      </c>
      <c r="C10" s="8" t="inlineStr">
        <is>
          <t>blocks</t>
        </is>
      </c>
      <c r="D10" s="8" t="inlineStr">
        <is>
          <t>Story delivery dependency</t>
        </is>
      </c>
      <c r="E10" s="8" t="inlineStr">
        <is>
          <t>Sprint 3</t>
        </is>
      </c>
      <c r="F10" s="8" t="inlineStr">
        <is>
          <t>Predecessor output required before dependent story acceptance</t>
        </is>
      </c>
    </row>
    <row r="11" ht="34" customHeight="1">
      <c r="A11" s="9" t="inlineStr">
        <is>
          <t>TMP-009</t>
        </is>
      </c>
      <c r="B11" s="9" t="inlineStr">
        <is>
          <t>TMP-010</t>
        </is>
      </c>
      <c r="C11" s="9" t="inlineStr">
        <is>
          <t>blocks</t>
        </is>
      </c>
      <c r="D11" s="9" t="inlineStr">
        <is>
          <t>Story delivery dependency</t>
        </is>
      </c>
      <c r="E11" s="9" t="inlineStr">
        <is>
          <t>Sprint 3</t>
        </is>
      </c>
      <c r="F11" s="9" t="inlineStr">
        <is>
          <t>Predecessor output required before dependent story acceptance</t>
        </is>
      </c>
    </row>
    <row r="12" ht="34" customHeight="1">
      <c r="A12" s="8" t="inlineStr">
        <is>
          <t>TMP-006</t>
        </is>
      </c>
      <c r="B12" s="8" t="inlineStr">
        <is>
          <t>TMP-011</t>
        </is>
      </c>
      <c r="C12" s="8" t="inlineStr">
        <is>
          <t>blocks</t>
        </is>
      </c>
      <c r="D12" s="8" t="inlineStr">
        <is>
          <t>Story delivery dependency</t>
        </is>
      </c>
      <c r="E12" s="8" t="inlineStr">
        <is>
          <t>Current/complete</t>
        </is>
      </c>
      <c r="F12" s="8" t="inlineStr">
        <is>
          <t>Predecessor output required before dependent story acceptance</t>
        </is>
      </c>
    </row>
    <row r="13" ht="34" customHeight="1">
      <c r="A13" s="9" t="inlineStr">
        <is>
          <t>TMP-006</t>
        </is>
      </c>
      <c r="B13" s="9" t="inlineStr">
        <is>
          <t>TMP-012</t>
        </is>
      </c>
      <c r="C13" s="9" t="inlineStr">
        <is>
          <t>blocks</t>
        </is>
      </c>
      <c r="D13" s="9" t="inlineStr">
        <is>
          <t>Story delivery dependency</t>
        </is>
      </c>
      <c r="E13" s="9" t="inlineStr">
        <is>
          <t>Sprint 3</t>
        </is>
      </c>
      <c r="F13" s="9" t="inlineStr">
        <is>
          <t>Predecessor output required before dependent story acceptance</t>
        </is>
      </c>
    </row>
    <row r="14" ht="34" customHeight="1">
      <c r="A14" s="8" t="inlineStr">
        <is>
          <t>TMP-011</t>
        </is>
      </c>
      <c r="B14" s="8" t="inlineStr">
        <is>
          <t>TMP-012</t>
        </is>
      </c>
      <c r="C14" s="8" t="inlineStr">
        <is>
          <t>blocks</t>
        </is>
      </c>
      <c r="D14" s="8" t="inlineStr">
        <is>
          <t>Story delivery dependency</t>
        </is>
      </c>
      <c r="E14" s="8" t="inlineStr">
        <is>
          <t>Sprint 3</t>
        </is>
      </c>
      <c r="F14" s="8" t="inlineStr">
        <is>
          <t>Predecessor output required before dependent story acceptance</t>
        </is>
      </c>
    </row>
    <row r="15" ht="34" customHeight="1">
      <c r="A15" s="9" t="inlineStr">
        <is>
          <t>TMP-007</t>
        </is>
      </c>
      <c r="B15" s="9" t="inlineStr">
        <is>
          <t>TMP-013</t>
        </is>
      </c>
      <c r="C15" s="9" t="inlineStr">
        <is>
          <t>blocks</t>
        </is>
      </c>
      <c r="D15" s="9" t="inlineStr">
        <is>
          <t>Story delivery dependency</t>
        </is>
      </c>
      <c r="E15" s="9" t="inlineStr">
        <is>
          <t>Current/complete</t>
        </is>
      </c>
      <c r="F15" s="9" t="inlineStr">
        <is>
          <t>Predecessor output required before dependent story acceptance</t>
        </is>
      </c>
    </row>
    <row r="16" ht="34" customHeight="1">
      <c r="A16" s="8" t="inlineStr">
        <is>
          <t>TMP-007</t>
        </is>
      </c>
      <c r="B16" s="8" t="inlineStr">
        <is>
          <t>TMP-014</t>
        </is>
      </c>
      <c r="C16" s="8" t="inlineStr">
        <is>
          <t>blocks</t>
        </is>
      </c>
      <c r="D16" s="8" t="inlineStr">
        <is>
          <t>Story delivery dependency</t>
        </is>
      </c>
      <c r="E16" s="8" t="inlineStr">
        <is>
          <t>Sprint 2</t>
        </is>
      </c>
      <c r="F16" s="8" t="inlineStr">
        <is>
          <t>Predecessor output required before dependent story acceptance</t>
        </is>
      </c>
    </row>
    <row r="17" ht="34" customHeight="1">
      <c r="A17" s="9" t="inlineStr">
        <is>
          <t>TMP-013</t>
        </is>
      </c>
      <c r="B17" s="9" t="inlineStr">
        <is>
          <t>TMP-014</t>
        </is>
      </c>
      <c r="C17" s="9" t="inlineStr">
        <is>
          <t>blocks</t>
        </is>
      </c>
      <c r="D17" s="9" t="inlineStr">
        <is>
          <t>Story delivery dependency</t>
        </is>
      </c>
      <c r="E17" s="9" t="inlineStr">
        <is>
          <t>Sprint 2</t>
        </is>
      </c>
      <c r="F17" s="9" t="inlineStr">
        <is>
          <t>Predecessor output required before dependent story acceptance</t>
        </is>
      </c>
    </row>
    <row r="18" ht="34" customHeight="1">
      <c r="A18" s="8" t="inlineStr">
        <is>
          <t>TMP-011</t>
        </is>
      </c>
      <c r="B18" s="8" t="inlineStr">
        <is>
          <t>TMP-015</t>
        </is>
      </c>
      <c r="C18" s="8" t="inlineStr">
        <is>
          <t>blocks</t>
        </is>
      </c>
      <c r="D18" s="8" t="inlineStr">
        <is>
          <t>Story delivery dependency</t>
        </is>
      </c>
      <c r="E18" s="8" t="inlineStr">
        <is>
          <t>Current/complete</t>
        </is>
      </c>
      <c r="F18" s="8" t="inlineStr">
        <is>
          <t>Predecessor output required before dependent story acceptance</t>
        </is>
      </c>
    </row>
    <row r="19" ht="34" customHeight="1">
      <c r="A19" s="9" t="inlineStr">
        <is>
          <t>TMP-013</t>
        </is>
      </c>
      <c r="B19" s="9" t="inlineStr">
        <is>
          <t>TMP-015</t>
        </is>
      </c>
      <c r="C19" s="9" t="inlineStr">
        <is>
          <t>blocks</t>
        </is>
      </c>
      <c r="D19" s="9" t="inlineStr">
        <is>
          <t>Story delivery dependency</t>
        </is>
      </c>
      <c r="E19" s="9" t="inlineStr">
        <is>
          <t>Current/complete</t>
        </is>
      </c>
      <c r="F19" s="9" t="inlineStr">
        <is>
          <t>Predecessor output required before dependent story acceptance</t>
        </is>
      </c>
    </row>
    <row r="20" ht="34" customHeight="1">
      <c r="A20" s="8" t="inlineStr">
        <is>
          <t>TMP-015</t>
        </is>
      </c>
      <c r="B20" s="8" t="inlineStr">
        <is>
          <t>TMP-016</t>
        </is>
      </c>
      <c r="C20" s="8" t="inlineStr">
        <is>
          <t>blocks</t>
        </is>
      </c>
      <c r="D20" s="8" t="inlineStr">
        <is>
          <t>Story delivery dependency</t>
        </is>
      </c>
      <c r="E20" s="8" t="inlineStr">
        <is>
          <t>Sprint 2</t>
        </is>
      </c>
      <c r="F20" s="8" t="inlineStr">
        <is>
          <t>Predecessor output required before dependent story acceptance</t>
        </is>
      </c>
    </row>
    <row r="21" ht="34" customHeight="1">
      <c r="A21" s="9" t="inlineStr">
        <is>
          <t>TMP-015</t>
        </is>
      </c>
      <c r="B21" s="9" t="inlineStr">
        <is>
          <t>TMP-017</t>
        </is>
      </c>
      <c r="C21" s="9" t="inlineStr">
        <is>
          <t>blocks</t>
        </is>
      </c>
      <c r="D21" s="9" t="inlineStr">
        <is>
          <t>Story delivery dependency</t>
        </is>
      </c>
      <c r="E21" s="9" t="inlineStr">
        <is>
          <t>Current/complete</t>
        </is>
      </c>
      <c r="F21" s="9" t="inlineStr">
        <is>
          <t>Predecessor output required before dependent story acceptance</t>
        </is>
      </c>
    </row>
    <row r="22" ht="34" customHeight="1">
      <c r="A22" s="8" t="inlineStr">
        <is>
          <t>TMP-017</t>
        </is>
      </c>
      <c r="B22" s="8" t="inlineStr">
        <is>
          <t>TMP-018</t>
        </is>
      </c>
      <c r="C22" s="8" t="inlineStr">
        <is>
          <t>blocks</t>
        </is>
      </c>
      <c r="D22" s="8" t="inlineStr">
        <is>
          <t>Story delivery dependency</t>
        </is>
      </c>
      <c r="E22" s="8" t="inlineStr">
        <is>
          <t>Current/complete</t>
        </is>
      </c>
      <c r="F22" s="8" t="inlineStr">
        <is>
          <t>Predecessor output required before dependent story acceptance</t>
        </is>
      </c>
    </row>
    <row r="23" ht="34" customHeight="1">
      <c r="A23" s="9" t="inlineStr">
        <is>
          <t>TMP-018</t>
        </is>
      </c>
      <c r="B23" s="9" t="inlineStr">
        <is>
          <t>TMP-019</t>
        </is>
      </c>
      <c r="C23" s="9" t="inlineStr">
        <is>
          <t>blocks</t>
        </is>
      </c>
      <c r="D23" s="9" t="inlineStr">
        <is>
          <t>Story delivery dependency</t>
        </is>
      </c>
      <c r="E23" s="9" t="inlineStr">
        <is>
          <t>Current/complete</t>
        </is>
      </c>
      <c r="F23" s="9" t="inlineStr">
        <is>
          <t>Predecessor output required before dependent story acceptance</t>
        </is>
      </c>
    </row>
    <row r="24" ht="34" customHeight="1">
      <c r="A24" s="8" t="inlineStr">
        <is>
          <t>TMP-002</t>
        </is>
      </c>
      <c r="B24" s="8" t="inlineStr">
        <is>
          <t>TMP-020</t>
        </is>
      </c>
      <c r="C24" s="8" t="inlineStr">
        <is>
          <t>blocks</t>
        </is>
      </c>
      <c r="D24" s="8" t="inlineStr">
        <is>
          <t>Story delivery dependency</t>
        </is>
      </c>
      <c r="E24" s="8" t="inlineStr">
        <is>
          <t>Sprint 4</t>
        </is>
      </c>
      <c r="F24" s="8" t="inlineStr">
        <is>
          <t>Predecessor output required before dependent story acceptance</t>
        </is>
      </c>
    </row>
    <row r="25" ht="34" customHeight="1">
      <c r="A25" s="9" t="inlineStr">
        <is>
          <t>TMP-008</t>
        </is>
      </c>
      <c r="B25" s="9" t="inlineStr">
        <is>
          <t>TMP-020</t>
        </is>
      </c>
      <c r="C25" s="9" t="inlineStr">
        <is>
          <t>blocks</t>
        </is>
      </c>
      <c r="D25" s="9" t="inlineStr">
        <is>
          <t>Story delivery dependency</t>
        </is>
      </c>
      <c r="E25" s="9" t="inlineStr">
        <is>
          <t>Sprint 4</t>
        </is>
      </c>
      <c r="F25" s="9" t="inlineStr">
        <is>
          <t>Predecessor output required before dependent story acceptance</t>
        </is>
      </c>
    </row>
    <row r="26" ht="34" customHeight="1">
      <c r="A26" s="8" t="inlineStr">
        <is>
          <t>TMP-018</t>
        </is>
      </c>
      <c r="B26" s="8" t="inlineStr">
        <is>
          <t>TMP-020</t>
        </is>
      </c>
      <c r="C26" s="8" t="inlineStr">
        <is>
          <t>blocks</t>
        </is>
      </c>
      <c r="D26" s="8" t="inlineStr">
        <is>
          <t>Story delivery dependency</t>
        </is>
      </c>
      <c r="E26" s="8" t="inlineStr">
        <is>
          <t>Sprint 4</t>
        </is>
      </c>
      <c r="F26" s="8" t="inlineStr">
        <is>
          <t>Predecessor output required before dependent story acceptance</t>
        </is>
      </c>
    </row>
    <row r="27" ht="34" customHeight="1">
      <c r="A27" s="9" t="inlineStr">
        <is>
          <t>TMP-019</t>
        </is>
      </c>
      <c r="B27" s="9" t="inlineStr">
        <is>
          <t>TMP-020</t>
        </is>
      </c>
      <c r="C27" s="9" t="inlineStr">
        <is>
          <t>blocks</t>
        </is>
      </c>
      <c r="D27" s="9" t="inlineStr">
        <is>
          <t>Story delivery dependency</t>
        </is>
      </c>
      <c r="E27" s="9" t="inlineStr">
        <is>
          <t>Sprint 4</t>
        </is>
      </c>
      <c r="F27" s="9" t="inlineStr">
        <is>
          <t>Predecessor output required before dependent story acceptance</t>
        </is>
      </c>
    </row>
    <row r="28" ht="34" customHeight="1">
      <c r="A28" s="8" t="inlineStr">
        <is>
          <t>TMP-016</t>
        </is>
      </c>
      <c r="B28" s="8" t="inlineStr">
        <is>
          <t>TMP-022</t>
        </is>
      </c>
      <c r="C28" s="8" t="inlineStr">
        <is>
          <t>blocks</t>
        </is>
      </c>
      <c r="D28" s="8" t="inlineStr">
        <is>
          <t>Story delivery dependency</t>
        </is>
      </c>
      <c r="E28" s="8" t="inlineStr">
        <is>
          <t>Sprint 4</t>
        </is>
      </c>
      <c r="F28" s="8" t="inlineStr">
        <is>
          <t>Predecessor output required before dependent story acceptance</t>
        </is>
      </c>
    </row>
    <row r="29" ht="34" customHeight="1">
      <c r="A29" s="9" t="inlineStr">
        <is>
          <t>TMP-018</t>
        </is>
      </c>
      <c r="B29" s="9" t="inlineStr">
        <is>
          <t>TMP-022</t>
        </is>
      </c>
      <c r="C29" s="9" t="inlineStr">
        <is>
          <t>blocks</t>
        </is>
      </c>
      <c r="D29" s="9" t="inlineStr">
        <is>
          <t>Story delivery dependency</t>
        </is>
      </c>
      <c r="E29" s="9" t="inlineStr">
        <is>
          <t>Sprint 4</t>
        </is>
      </c>
      <c r="F29" s="9" t="inlineStr">
        <is>
          <t>Predecessor output required before dependent story acceptance</t>
        </is>
      </c>
    </row>
    <row r="30" ht="34" customHeight="1">
      <c r="A30" s="8" t="inlineStr">
        <is>
          <t>TMP-009</t>
        </is>
      </c>
      <c r="B30" s="8" t="inlineStr">
        <is>
          <t>TMP-023</t>
        </is>
      </c>
      <c r="C30" s="8" t="inlineStr">
        <is>
          <t>blocks</t>
        </is>
      </c>
      <c r="D30" s="8" t="inlineStr">
        <is>
          <t>Story delivery dependency</t>
        </is>
      </c>
      <c r="E30" s="8" t="inlineStr">
        <is>
          <t>Current/complete</t>
        </is>
      </c>
      <c r="F30" s="8" t="inlineStr">
        <is>
          <t>Predecessor output required before dependent story acceptance</t>
        </is>
      </c>
    </row>
    <row r="31" ht="34" customHeight="1">
      <c r="A31" s="9" t="inlineStr">
        <is>
          <t>TMP-003</t>
        </is>
      </c>
      <c r="B31" s="9" t="inlineStr">
        <is>
          <t>TMP-024</t>
        </is>
      </c>
      <c r="C31" s="9" t="inlineStr">
        <is>
          <t>blocks</t>
        </is>
      </c>
      <c r="D31" s="9" t="inlineStr">
        <is>
          <t>Story delivery dependency</t>
        </is>
      </c>
      <c r="E31" s="9" t="inlineStr">
        <is>
          <t>Sprint 4</t>
        </is>
      </c>
      <c r="F31" s="9" t="inlineStr">
        <is>
          <t>Predecessor output required before dependent story acceptance</t>
        </is>
      </c>
    </row>
    <row r="32" ht="34" customHeight="1">
      <c r="A32" s="8" t="inlineStr">
        <is>
          <t>TMP-019</t>
        </is>
      </c>
      <c r="B32" s="8" t="inlineStr">
        <is>
          <t>TMP-024</t>
        </is>
      </c>
      <c r="C32" s="8" t="inlineStr">
        <is>
          <t>blocks</t>
        </is>
      </c>
      <c r="D32" s="8" t="inlineStr">
        <is>
          <t>Story delivery dependency</t>
        </is>
      </c>
      <c r="E32" s="8" t="inlineStr">
        <is>
          <t>Sprint 4</t>
        </is>
      </c>
      <c r="F32" s="8" t="inlineStr">
        <is>
          <t>Predecessor output required before dependent story acceptance</t>
        </is>
      </c>
    </row>
    <row r="33" ht="34" customHeight="1">
      <c r="A33" s="9" t="inlineStr">
        <is>
          <t>TMP-022</t>
        </is>
      </c>
      <c r="B33" s="9" t="inlineStr">
        <is>
          <t>TMP-024</t>
        </is>
      </c>
      <c r="C33" s="9" t="inlineStr">
        <is>
          <t>blocks</t>
        </is>
      </c>
      <c r="D33" s="9" t="inlineStr">
        <is>
          <t>Story delivery dependency</t>
        </is>
      </c>
      <c r="E33" s="9" t="inlineStr">
        <is>
          <t>Sprint 4</t>
        </is>
      </c>
      <c r="F33" s="9" t="inlineStr">
        <is>
          <t>Predecessor output required before dependent story acceptance</t>
        </is>
      </c>
    </row>
    <row r="34" ht="34" customHeight="1">
      <c r="A34" s="8" t="inlineStr">
        <is>
          <t>TMP-023</t>
        </is>
      </c>
      <c r="B34" s="8" t="inlineStr">
        <is>
          <t>TMP-024</t>
        </is>
      </c>
      <c r="C34" s="8" t="inlineStr">
        <is>
          <t>blocks</t>
        </is>
      </c>
      <c r="D34" s="8" t="inlineStr">
        <is>
          <t>Story delivery dependency</t>
        </is>
      </c>
      <c r="E34" s="8" t="inlineStr">
        <is>
          <t>Sprint 4</t>
        </is>
      </c>
      <c r="F34" s="8" t="inlineStr">
        <is>
          <t>Predecessor output required before dependent story acceptance</t>
        </is>
      </c>
    </row>
    <row r="35" ht="34" customHeight="1">
      <c r="A35" s="9" t="inlineStr">
        <is>
          <t>ingest_prices</t>
        </is>
      </c>
      <c r="B35" s="9" t="inlineStr">
        <is>
          <t>process_prices</t>
        </is>
      </c>
      <c r="C35" s="9" t="inlineStr">
        <is>
          <t>blocks</t>
        </is>
      </c>
      <c r="D35" s="9" t="inlineStr">
        <is>
          <t>Implemented Databricks Workflow dependency</t>
        </is>
      </c>
      <c r="E35" s="9" t="inlineStr">
        <is>
          <t>Current workflow</t>
        </is>
      </c>
      <c r="F35" s="9" t="inlineStr">
        <is>
          <t>Verified in jobs/resources/trade_pipeline.job.yml</t>
        </is>
      </c>
    </row>
    <row r="36" ht="34" customHeight="1">
      <c r="A36" s="8" t="inlineStr">
        <is>
          <t>ingest_trades</t>
        </is>
      </c>
      <c r="B36" s="8" t="inlineStr">
        <is>
          <t>process_trades</t>
        </is>
      </c>
      <c r="C36" s="8" t="inlineStr">
        <is>
          <t>blocks</t>
        </is>
      </c>
      <c r="D36" s="8" t="inlineStr">
        <is>
          <t>Implemented Databricks Workflow dependency</t>
        </is>
      </c>
      <c r="E36" s="8" t="inlineStr">
        <is>
          <t>Current workflow</t>
        </is>
      </c>
      <c r="F36" s="8" t="inlineStr">
        <is>
          <t>Verified in jobs/resources/trade_pipeline.job.yml</t>
        </is>
      </c>
    </row>
    <row r="37" ht="34" customHeight="1">
      <c r="A37" s="9" t="inlineStr">
        <is>
          <t>process_prices</t>
        </is>
      </c>
      <c r="B37" s="9" t="inlineStr">
        <is>
          <t>build_positions</t>
        </is>
      </c>
      <c r="C37" s="9" t="inlineStr">
        <is>
          <t>blocks</t>
        </is>
      </c>
      <c r="D37" s="9" t="inlineStr">
        <is>
          <t>Implemented Databricks Workflow dependency</t>
        </is>
      </c>
      <c r="E37" s="9" t="inlineStr">
        <is>
          <t>Current workflow</t>
        </is>
      </c>
      <c r="F37" s="9" t="inlineStr">
        <is>
          <t>Verified in jobs/resources/trade_pipeline.job.yml</t>
        </is>
      </c>
    </row>
    <row r="38" ht="34" customHeight="1">
      <c r="A38" s="8" t="inlineStr">
        <is>
          <t>process_trades</t>
        </is>
      </c>
      <c r="B38" s="8" t="inlineStr">
        <is>
          <t>build_positions</t>
        </is>
      </c>
      <c r="C38" s="8" t="inlineStr">
        <is>
          <t>blocks</t>
        </is>
      </c>
      <c r="D38" s="8" t="inlineStr">
        <is>
          <t>Implemented Databricks Workflow dependency</t>
        </is>
      </c>
      <c r="E38" s="8" t="inlineStr">
        <is>
          <t>Current workflow</t>
        </is>
      </c>
      <c r="F38" s="8" t="inlineStr">
        <is>
          <t>Verified in jobs/resources/trade_pipeline.job.yml</t>
        </is>
      </c>
    </row>
    <row r="39" ht="34" customHeight="1">
      <c r="A39" s="9" t="inlineStr">
        <is>
          <t>build_positions</t>
        </is>
      </c>
      <c r="B39" s="9" t="inlineStr">
        <is>
          <t>calculate_daily_pnl</t>
        </is>
      </c>
      <c r="C39" s="9" t="inlineStr">
        <is>
          <t>blocks</t>
        </is>
      </c>
      <c r="D39" s="9" t="inlineStr">
        <is>
          <t>Implemented Databricks Workflow dependency</t>
        </is>
      </c>
      <c r="E39" s="9" t="inlineStr">
        <is>
          <t>Current workflow</t>
        </is>
      </c>
      <c r="F39" s="9" t="inlineStr">
        <is>
          <t>Verified in jobs/resources/trade_pipeline.job.yml</t>
        </is>
      </c>
    </row>
  </sheetData>
  <autoFilter ref="A1:F39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8" customWidth="1" min="3" max="3"/>
    <col width="60" customWidth="1" min="4" max="4"/>
    <col width="22" customWidth="1" min="5" max="5"/>
    <col width="68" customWidth="1" min="6" max="6"/>
    <col width="72" customWidth="1" min="7" max="7"/>
    <col width="72" customWidth="1" min="8" max="8"/>
    <col width="72" customWidth="1" min="9" max="9"/>
  </cols>
  <sheetData>
    <row r="1" ht="34" customHeight="1">
      <c r="A1" s="7" t="inlineStr">
        <is>
          <t>Sprint</t>
        </is>
      </c>
      <c r="B1" s="7" t="inlineStr">
        <is>
          <t>Timeline</t>
        </is>
      </c>
      <c r="C1" s="7" t="inlineStr">
        <is>
          <t>Sprint goal</t>
        </is>
      </c>
      <c r="D1" s="7" t="inlineStr">
        <is>
          <t>Planned stories</t>
        </is>
      </c>
      <c r="E1" s="7" t="inlineStr">
        <is>
          <t>Story points (formula)</t>
        </is>
      </c>
      <c r="F1" s="7" t="inlineStr">
        <is>
          <t>Dependencies</t>
        </is>
      </c>
      <c r="G1" s="7" t="inlineStr">
        <is>
          <t>Deliverables</t>
        </is>
      </c>
      <c r="H1" s="7" t="inlineStr">
        <is>
          <t>Demo outcome</t>
        </is>
      </c>
      <c r="I1" s="7" t="inlineStr">
        <is>
          <t>Exit criteria</t>
        </is>
      </c>
    </row>
    <row r="2" ht="34" customHeight="1">
      <c r="A2" s="8" t="inlineStr">
        <is>
          <t>Sprint 1</t>
        </is>
      </c>
      <c r="B2" s="8" t="inlineStr">
        <is>
          <t>Weeks 1-2</t>
        </is>
      </c>
      <c r="C2" s="8" t="inlineStr">
        <is>
          <t>Lock project scope, requirement acceptance, measurable NFRs, and target access design.</t>
        </is>
      </c>
      <c r="D2" s="8" t="inlineStr">
        <is>
          <t>TMP-001; TMP-002; TMP-003; TMP-005</t>
        </is>
      </c>
      <c r="E2" s="8">
        <f>SUMIF(Stories!$J:$J,A2,Stories!$G:$G)</f>
        <v/>
      </c>
      <c r="F2" s="8" t="inlineStr">
        <is>
          <t>Kickoff and timely access to business, market-data, and platform decision owners.</t>
        </is>
      </c>
      <c r="G2" s="8" t="inlineStr">
        <is>
          <t>Approved scope, BR/FR baseline, NFR decision log, target security/environment design.</t>
        </is>
      </c>
      <c r="H2" s="8" t="inlineStr">
        <is>
          <t>Trace one trade and one price source through implemented modules and show signed acceptance criteria.</t>
        </is>
      </c>
      <c r="I2" s="8" t="inlineStr">
        <is>
          <t>No critical source, access, calculation, or report requirement remains ownerless.</t>
        </is>
      </c>
    </row>
    <row r="3" ht="34" customHeight="1">
      <c r="A3" s="9" t="inlineStr">
        <is>
          <t>Sprint 2</t>
        </is>
      </c>
      <c r="B3" s="9" t="inlineStr">
        <is>
          <t>Weeks 3-4</t>
        </is>
      </c>
      <c r="C3" s="9" t="inlineStr">
        <is>
          <t>Resolve market-data decisions, dictionary, price exception handling, and runtime test strategy.</t>
        </is>
      </c>
      <c r="D3" s="9" t="inlineStr">
        <is>
          <t>TMP-007; TMP-008; TMP-014; TMP-016</t>
        </is>
      </c>
      <c r="E3" s="9">
        <f>SUMIF(Stories!$J:$J,A3,Stories!$G:$G)</f>
        <v/>
      </c>
      <c r="F3" s="9" t="inlineStr">
        <is>
          <t>Sprint 1 approved scope; access to market-data owner; supported Databricks/Spark test environment.</t>
        </is>
      </c>
      <c r="G3" s="9" t="inlineStr">
        <is>
          <t>Source decision, DDL-backed dictionary signoff, missing-price procedure, integration/rerun evidence.</t>
        </is>
      </c>
      <c r="H3" s="9" t="inlineStr">
        <is>
          <t>Show a missing-session case and typed data/reject outcomes; demonstrate integration suite execution.</t>
        </is>
      </c>
      <c r="I3" s="9" t="inlineStr">
        <is>
          <t>Price feed is approved or explicitly remains prototype-only; unresolved runtime/test access has an owner and date.</t>
        </is>
      </c>
    </row>
    <row r="4" ht="34" customHeight="1">
      <c r="A4" s="8" t="inlineStr">
        <is>
          <t>Sprint 3</t>
        </is>
      </c>
      <c r="B4" s="8" t="inlineStr">
        <is>
          <t>Weeks 5-6</t>
        </is>
      </c>
      <c r="C4" s="8" t="inlineStr">
        <is>
          <t>Improve deployment controls and resolve trade snapshot history/correction semantics.</t>
        </is>
      </c>
      <c r="D4" s="8" t="inlineStr">
        <is>
          <t>TMP-010; TMP-012</t>
        </is>
      </c>
      <c r="E4" s="8">
        <f>SUMIF(Stories!$J:$J,A4,Stories!$G:$G)</f>
        <v/>
      </c>
      <c r="F4" s="8" t="inlineStr">
        <is>
          <t>Approved security/environment design; trade owner signs source semantics.</t>
        </is>
      </c>
      <c r="G4" s="8" t="inlineStr">
        <is>
          <t>Reviewed CI and promotion controls; tested correction/disappearance behavior.</t>
        </is>
      </c>
      <c r="H4" s="8" t="inlineStr">
        <is>
          <t>Show PR checks and a two-snapshot correction/cancellation case.</t>
        </is>
      </c>
      <c r="I4" s="8" t="inlineStr">
        <is>
          <t>Deployment path is reproducible and trade history behavior is explicit/tested.</t>
        </is>
      </c>
    </row>
    <row r="5" ht="34" customHeight="1">
      <c r="A5" s="9" t="inlineStr">
        <is>
          <t>Sprint 4</t>
        </is>
      </c>
      <c r="B5" s="9" t="inlineStr">
        <is>
          <t>Weeks 7-8</t>
        </is>
      </c>
      <c r="C5" s="9" t="inlineStr">
        <is>
          <t>Deliver reporting MVP, reconciliation/UAT evidence, and operations handover.</t>
        </is>
      </c>
      <c r="D5" s="9" t="inlineStr">
        <is>
          <t>TMP-020; TMP-022; TMP-024</t>
        </is>
      </c>
      <c r="E5" s="9">
        <f>SUMIF(Stories!$J:$J,A5,Stories!$G:$G)</f>
        <v/>
      </c>
      <c r="F5" s="9" t="inlineStr">
        <is>
          <t>Approved reporting requirements, integration evidence, support owner, and prior sprint outputs.</t>
        </is>
      </c>
      <c r="G5" s="9" t="inlineStr">
        <is>
          <t>Dashboard MVP, signed UAT/reconciliation, runbook and alerting handover.</t>
        </is>
      </c>
      <c r="H5" s="9" t="inlineStr">
        <is>
          <t>Show dashboard reconciliation from source trade through daily P&amp;L and demonstrate failure recovery.</t>
        </is>
      </c>
      <c r="I5" s="9" t="inlineStr">
        <is>
          <t>Product/operations sign-off; no unresolved critical risk; schedule stays paused absent production readiness approval.</t>
        </is>
      </c>
    </row>
  </sheetData>
  <autoFilter ref="A1:I5"/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4" customHeight="1">
      <c r="A1" s="7" t="inlineStr">
        <is>
          <t>Planning ID</t>
        </is>
      </c>
      <c r="B1" s="7" t="inlineStr">
        <is>
          <t>Story</t>
        </is>
      </c>
      <c r="C1" s="7" t="inlineStr">
        <is>
          <t>Sprint</t>
        </is>
      </c>
      <c r="D1" s="7" t="inlineStr">
        <is>
          <t>Start week</t>
        </is>
      </c>
      <c r="E1" s="7" t="inlineStr">
        <is>
          <t>Duration (weeks)</t>
        </is>
      </c>
      <c r="F1" s="7" t="inlineStr">
        <is>
          <t>Week 1</t>
        </is>
      </c>
      <c r="G1" s="7" t="inlineStr">
        <is>
          <t>Week 2</t>
        </is>
      </c>
      <c r="H1" s="7" t="inlineStr">
        <is>
          <t>Week 3</t>
        </is>
      </c>
      <c r="I1" s="7" t="inlineStr">
        <is>
          <t>Week 4</t>
        </is>
      </c>
      <c r="J1" s="7" t="inlineStr">
        <is>
          <t>Week 5</t>
        </is>
      </c>
      <c r="K1" s="7" t="inlineStr">
        <is>
          <t>Week 6</t>
        </is>
      </c>
      <c r="L1" s="7" t="inlineStr">
        <is>
          <t>Week 7</t>
        </is>
      </c>
      <c r="M1" s="7" t="inlineStr">
        <is>
          <t>Week 8</t>
        </is>
      </c>
    </row>
    <row r="2" ht="34" customHeight="1">
      <c r="A2" s="8" t="inlineStr">
        <is>
          <t>TMP-001</t>
        </is>
      </c>
      <c r="B2" s="8" t="inlineStr">
        <is>
          <t>Baseline current implementation and confirm scope</t>
        </is>
      </c>
      <c r="C2" s="8" t="inlineStr">
        <is>
          <t>Sprint 1</t>
        </is>
      </c>
      <c r="D2" s="8" t="n">
        <v>1</v>
      </c>
      <c r="E2" s="8" t="n">
        <v>2</v>
      </c>
      <c r="F2" s="10">
        <f>--AND(COLUMN()-5&gt;=$D2,COLUMN()-5&lt;$D2+$E2)</f>
        <v/>
      </c>
      <c r="G2" s="10">
        <f>--AND(COLUMN()-5&gt;=$D2,COLUMN()-5&lt;$D2+$E2)</f>
        <v/>
      </c>
      <c r="H2" s="10">
        <f>--AND(COLUMN()-5&gt;=$D2,COLUMN()-5&lt;$D2+$E2)</f>
        <v/>
      </c>
      <c r="I2" s="10">
        <f>--AND(COLUMN()-5&gt;=$D2,COLUMN()-5&lt;$D2+$E2)</f>
        <v/>
      </c>
      <c r="J2" s="10">
        <f>--AND(COLUMN()-5&gt;=$D2,COLUMN()-5&lt;$D2+$E2)</f>
        <v/>
      </c>
      <c r="K2" s="10">
        <f>--AND(COLUMN()-5&gt;=$D2,COLUMN()-5&lt;$D2+$E2)</f>
        <v/>
      </c>
      <c r="L2" s="10">
        <f>--AND(COLUMN()-5&gt;=$D2,COLUMN()-5&lt;$D2+$E2)</f>
        <v/>
      </c>
      <c r="M2" s="10">
        <f>--AND(COLUMN()-5&gt;=$D2,COLUMN()-5&lt;$D2+$E2)</f>
        <v/>
      </c>
    </row>
    <row r="3" ht="34" customHeight="1">
      <c r="A3" s="9" t="inlineStr">
        <is>
          <t>TMP-002</t>
        </is>
      </c>
      <c r="B3" s="9" t="inlineStr">
        <is>
          <t>Approve business and functional requirements</t>
        </is>
      </c>
      <c r="C3" s="9" t="inlineStr">
        <is>
          <t>Sprint 1</t>
        </is>
      </c>
      <c r="D3" s="9" t="n">
        <v>1</v>
      </c>
      <c r="E3" s="9" t="n">
        <v>2</v>
      </c>
      <c r="F3" s="11">
        <f>--AND(COLUMN()-5&gt;=$D3,COLUMN()-5&lt;$D3+$E3)</f>
        <v/>
      </c>
      <c r="G3" s="11">
        <f>--AND(COLUMN()-5&gt;=$D3,COLUMN()-5&lt;$D3+$E3)</f>
        <v/>
      </c>
      <c r="H3" s="11">
        <f>--AND(COLUMN()-5&gt;=$D3,COLUMN()-5&lt;$D3+$E3)</f>
        <v/>
      </c>
      <c r="I3" s="11">
        <f>--AND(COLUMN()-5&gt;=$D3,COLUMN()-5&lt;$D3+$E3)</f>
        <v/>
      </c>
      <c r="J3" s="11">
        <f>--AND(COLUMN()-5&gt;=$D3,COLUMN()-5&lt;$D3+$E3)</f>
        <v/>
      </c>
      <c r="K3" s="11">
        <f>--AND(COLUMN()-5&gt;=$D3,COLUMN()-5&lt;$D3+$E3)</f>
        <v/>
      </c>
      <c r="L3" s="11">
        <f>--AND(COLUMN()-5&gt;=$D3,COLUMN()-5&lt;$D3+$E3)</f>
        <v/>
      </c>
      <c r="M3" s="11">
        <f>--AND(COLUMN()-5&gt;=$D3,COLUMN()-5&lt;$D3+$E3)</f>
        <v/>
      </c>
    </row>
    <row r="4" ht="34" customHeight="1">
      <c r="A4" s="8" t="inlineStr">
        <is>
          <t>TMP-003</t>
        </is>
      </c>
      <c r="B4" s="8" t="inlineStr">
        <is>
          <t>Set measurable non-functional and operational targets</t>
        </is>
      </c>
      <c r="C4" s="8" t="inlineStr">
        <is>
          <t>Sprint 1</t>
        </is>
      </c>
      <c r="D4" s="8" t="n">
        <v>1</v>
      </c>
      <c r="E4" s="8" t="n">
        <v>2</v>
      </c>
      <c r="F4" s="10">
        <f>--AND(COLUMN()-5&gt;=$D4,COLUMN()-5&lt;$D4+$E4)</f>
        <v/>
      </c>
      <c r="G4" s="10">
        <f>--AND(COLUMN()-5&gt;=$D4,COLUMN()-5&lt;$D4+$E4)</f>
        <v/>
      </c>
      <c r="H4" s="10">
        <f>--AND(COLUMN()-5&gt;=$D4,COLUMN()-5&lt;$D4+$E4)</f>
        <v/>
      </c>
      <c r="I4" s="10">
        <f>--AND(COLUMN()-5&gt;=$D4,COLUMN()-5&lt;$D4+$E4)</f>
        <v/>
      </c>
      <c r="J4" s="10">
        <f>--AND(COLUMN()-5&gt;=$D4,COLUMN()-5&lt;$D4+$E4)</f>
        <v/>
      </c>
      <c r="K4" s="10">
        <f>--AND(COLUMN()-5&gt;=$D4,COLUMN()-5&lt;$D4+$E4)</f>
        <v/>
      </c>
      <c r="L4" s="10">
        <f>--AND(COLUMN()-5&gt;=$D4,COLUMN()-5&lt;$D4+$E4)</f>
        <v/>
      </c>
      <c r="M4" s="10">
        <f>--AND(COLUMN()-5&gt;=$D4,COLUMN()-5&lt;$D4+$E4)</f>
        <v/>
      </c>
    </row>
    <row r="5" ht="34" customHeight="1">
      <c r="A5" s="9" t="inlineStr">
        <is>
          <t>TMP-005</t>
        </is>
      </c>
      <c r="B5" s="9" t="inlineStr">
        <is>
          <t>Approve target security and environment architecture</t>
        </is>
      </c>
      <c r="C5" s="9" t="inlineStr">
        <is>
          <t>Sprint 1</t>
        </is>
      </c>
      <c r="D5" s="9" t="n">
        <v>1</v>
      </c>
      <c r="E5" s="9" t="n">
        <v>2</v>
      </c>
      <c r="F5" s="11">
        <f>--AND(COLUMN()-5&gt;=$D5,COLUMN()-5&lt;$D5+$E5)</f>
        <v/>
      </c>
      <c r="G5" s="11">
        <f>--AND(COLUMN()-5&gt;=$D5,COLUMN()-5&lt;$D5+$E5)</f>
        <v/>
      </c>
      <c r="H5" s="11">
        <f>--AND(COLUMN()-5&gt;=$D5,COLUMN()-5&lt;$D5+$E5)</f>
        <v/>
      </c>
      <c r="I5" s="11">
        <f>--AND(COLUMN()-5&gt;=$D5,COLUMN()-5&lt;$D5+$E5)</f>
        <v/>
      </c>
      <c r="J5" s="11">
        <f>--AND(COLUMN()-5&gt;=$D5,COLUMN()-5&lt;$D5+$E5)</f>
        <v/>
      </c>
      <c r="K5" s="11">
        <f>--AND(COLUMN()-5&gt;=$D5,COLUMN()-5&lt;$D5+$E5)</f>
        <v/>
      </c>
      <c r="L5" s="11">
        <f>--AND(COLUMN()-5&gt;=$D5,COLUMN()-5&lt;$D5+$E5)</f>
        <v/>
      </c>
      <c r="M5" s="11">
        <f>--AND(COLUMN()-5&gt;=$D5,COLUMN()-5&lt;$D5+$E5)</f>
        <v/>
      </c>
    </row>
    <row r="6" ht="34" customHeight="1">
      <c r="A6" s="8" t="inlineStr">
        <is>
          <t>TMP-007</t>
        </is>
      </c>
      <c r="B6" s="8" t="inlineStr">
        <is>
          <t>Select and approve market-data source</t>
        </is>
      </c>
      <c r="C6" s="8" t="inlineStr">
        <is>
          <t>Sprint 2</t>
        </is>
      </c>
      <c r="D6" s="8" t="n">
        <v>3</v>
      </c>
      <c r="E6" s="8" t="n">
        <v>2</v>
      </c>
      <c r="F6" s="10">
        <f>--AND(COLUMN()-5&gt;=$D6,COLUMN()-5&lt;$D6+$E6)</f>
        <v/>
      </c>
      <c r="G6" s="10">
        <f>--AND(COLUMN()-5&gt;=$D6,COLUMN()-5&lt;$D6+$E6)</f>
        <v/>
      </c>
      <c r="H6" s="10">
        <f>--AND(COLUMN()-5&gt;=$D6,COLUMN()-5&lt;$D6+$E6)</f>
        <v/>
      </c>
      <c r="I6" s="10">
        <f>--AND(COLUMN()-5&gt;=$D6,COLUMN()-5&lt;$D6+$E6)</f>
        <v/>
      </c>
      <c r="J6" s="10">
        <f>--AND(COLUMN()-5&gt;=$D6,COLUMN()-5&lt;$D6+$E6)</f>
        <v/>
      </c>
      <c r="K6" s="10">
        <f>--AND(COLUMN()-5&gt;=$D6,COLUMN()-5&lt;$D6+$E6)</f>
        <v/>
      </c>
      <c r="L6" s="10">
        <f>--AND(COLUMN()-5&gt;=$D6,COLUMN()-5&lt;$D6+$E6)</f>
        <v/>
      </c>
      <c r="M6" s="10">
        <f>--AND(COLUMN()-5&gt;=$D6,COLUMN()-5&lt;$D6+$E6)</f>
        <v/>
      </c>
    </row>
    <row r="7" ht="34" customHeight="1">
      <c r="A7" s="9" t="inlineStr">
        <is>
          <t>TMP-008</t>
        </is>
      </c>
      <c r="B7" s="9" t="inlineStr">
        <is>
          <t>Approve physical data dictionary and retention model</t>
        </is>
      </c>
      <c r="C7" s="9" t="inlineStr">
        <is>
          <t>Sprint 2</t>
        </is>
      </c>
      <c r="D7" s="9" t="n">
        <v>3</v>
      </c>
      <c r="E7" s="9" t="n">
        <v>2</v>
      </c>
      <c r="F7" s="11">
        <f>--AND(COLUMN()-5&gt;=$D7,COLUMN()-5&lt;$D7+$E7)</f>
        <v/>
      </c>
      <c r="G7" s="11">
        <f>--AND(COLUMN()-5&gt;=$D7,COLUMN()-5&lt;$D7+$E7)</f>
        <v/>
      </c>
      <c r="H7" s="11">
        <f>--AND(COLUMN()-5&gt;=$D7,COLUMN()-5&lt;$D7+$E7)</f>
        <v/>
      </c>
      <c r="I7" s="11">
        <f>--AND(COLUMN()-5&gt;=$D7,COLUMN()-5&lt;$D7+$E7)</f>
        <v/>
      </c>
      <c r="J7" s="11">
        <f>--AND(COLUMN()-5&gt;=$D7,COLUMN()-5&lt;$D7+$E7)</f>
        <v/>
      </c>
      <c r="K7" s="11">
        <f>--AND(COLUMN()-5&gt;=$D7,COLUMN()-5&lt;$D7+$E7)</f>
        <v/>
      </c>
      <c r="L7" s="11">
        <f>--AND(COLUMN()-5&gt;=$D7,COLUMN()-5&lt;$D7+$E7)</f>
        <v/>
      </c>
      <c r="M7" s="11">
        <f>--AND(COLUMN()-5&gt;=$D7,COLUMN()-5&lt;$D7+$E7)</f>
        <v/>
      </c>
    </row>
    <row r="8" ht="34" customHeight="1">
      <c r="A8" s="8" t="inlineStr">
        <is>
          <t>TMP-010</t>
        </is>
      </c>
      <c r="B8" s="8" t="inlineStr">
        <is>
          <t>Add reviewed CI checks and controlled deployment promotion</t>
        </is>
      </c>
      <c r="C8" s="8" t="inlineStr">
        <is>
          <t>Sprint 3</t>
        </is>
      </c>
      <c r="D8" s="8" t="n">
        <v>5</v>
      </c>
      <c r="E8" s="8" t="n">
        <v>2</v>
      </c>
      <c r="F8" s="10">
        <f>--AND(COLUMN()-5&gt;=$D8,COLUMN()-5&lt;$D8+$E8)</f>
        <v/>
      </c>
      <c r="G8" s="10">
        <f>--AND(COLUMN()-5&gt;=$D8,COLUMN()-5&lt;$D8+$E8)</f>
        <v/>
      </c>
      <c r="H8" s="10">
        <f>--AND(COLUMN()-5&gt;=$D8,COLUMN()-5&lt;$D8+$E8)</f>
        <v/>
      </c>
      <c r="I8" s="10">
        <f>--AND(COLUMN()-5&gt;=$D8,COLUMN()-5&lt;$D8+$E8)</f>
        <v/>
      </c>
      <c r="J8" s="10">
        <f>--AND(COLUMN()-5&gt;=$D8,COLUMN()-5&lt;$D8+$E8)</f>
        <v/>
      </c>
      <c r="K8" s="10">
        <f>--AND(COLUMN()-5&gt;=$D8,COLUMN()-5&lt;$D8+$E8)</f>
        <v/>
      </c>
      <c r="L8" s="10">
        <f>--AND(COLUMN()-5&gt;=$D8,COLUMN()-5&lt;$D8+$E8)</f>
        <v/>
      </c>
      <c r="M8" s="10">
        <f>--AND(COLUMN()-5&gt;=$D8,COLUMN()-5&lt;$D8+$E8)</f>
        <v/>
      </c>
    </row>
    <row r="9" ht="34" customHeight="1">
      <c r="A9" s="9" t="inlineStr">
        <is>
          <t>TMP-012</t>
        </is>
      </c>
      <c r="B9" s="9" t="inlineStr">
        <is>
          <t>Resolve trade snapshot disappearance and historical correction controls</t>
        </is>
      </c>
      <c r="C9" s="9" t="inlineStr">
        <is>
          <t>Sprint 3</t>
        </is>
      </c>
      <c r="D9" s="9" t="n">
        <v>5</v>
      </c>
      <c r="E9" s="9" t="n">
        <v>2</v>
      </c>
      <c r="F9" s="11">
        <f>--AND(COLUMN()-5&gt;=$D9,COLUMN()-5&lt;$D9+$E9)</f>
        <v/>
      </c>
      <c r="G9" s="11">
        <f>--AND(COLUMN()-5&gt;=$D9,COLUMN()-5&lt;$D9+$E9)</f>
        <v/>
      </c>
      <c r="H9" s="11">
        <f>--AND(COLUMN()-5&gt;=$D9,COLUMN()-5&lt;$D9+$E9)</f>
        <v/>
      </c>
      <c r="I9" s="11">
        <f>--AND(COLUMN()-5&gt;=$D9,COLUMN()-5&lt;$D9+$E9)</f>
        <v/>
      </c>
      <c r="J9" s="11">
        <f>--AND(COLUMN()-5&gt;=$D9,COLUMN()-5&lt;$D9+$E9)</f>
        <v/>
      </c>
      <c r="K9" s="11">
        <f>--AND(COLUMN()-5&gt;=$D9,COLUMN()-5&lt;$D9+$E9)</f>
        <v/>
      </c>
      <c r="L9" s="11">
        <f>--AND(COLUMN()-5&gt;=$D9,COLUMN()-5&lt;$D9+$E9)</f>
        <v/>
      </c>
      <c r="M9" s="11">
        <f>--AND(COLUMN()-5&gt;=$D9,COLUMN()-5&lt;$D9+$E9)</f>
        <v/>
      </c>
    </row>
    <row r="10" ht="34" customHeight="1">
      <c r="A10" s="8" t="inlineStr">
        <is>
          <t>TMP-014</t>
        </is>
      </c>
      <c r="B10" s="8" t="inlineStr">
        <is>
          <t>Harden price source decision and completeness exception process</t>
        </is>
      </c>
      <c r="C10" s="8" t="inlineStr">
        <is>
          <t>Sprint 2</t>
        </is>
      </c>
      <c r="D10" s="8" t="n">
        <v>3</v>
      </c>
      <c r="E10" s="8" t="n">
        <v>2</v>
      </c>
      <c r="F10" s="10">
        <f>--AND(COLUMN()-5&gt;=$D10,COLUMN()-5&lt;$D10+$E10)</f>
        <v/>
      </c>
      <c r="G10" s="10">
        <f>--AND(COLUMN()-5&gt;=$D10,COLUMN()-5&lt;$D10+$E10)</f>
        <v/>
      </c>
      <c r="H10" s="10">
        <f>--AND(COLUMN()-5&gt;=$D10,COLUMN()-5&lt;$D10+$E10)</f>
        <v/>
      </c>
      <c r="I10" s="10">
        <f>--AND(COLUMN()-5&gt;=$D10,COLUMN()-5&lt;$D10+$E10)</f>
        <v/>
      </c>
      <c r="J10" s="10">
        <f>--AND(COLUMN()-5&gt;=$D10,COLUMN()-5&lt;$D10+$E10)</f>
        <v/>
      </c>
      <c r="K10" s="10">
        <f>--AND(COLUMN()-5&gt;=$D10,COLUMN()-5&lt;$D10+$E10)</f>
        <v/>
      </c>
      <c r="L10" s="10">
        <f>--AND(COLUMN()-5&gt;=$D10,COLUMN()-5&lt;$D10+$E10)</f>
        <v/>
      </c>
      <c r="M10" s="10">
        <f>--AND(COLUMN()-5&gt;=$D10,COLUMN()-5&lt;$D10+$E10)</f>
        <v/>
      </c>
    </row>
    <row r="11" ht="34" customHeight="1">
      <c r="A11" s="9" t="inlineStr">
        <is>
          <t>TMP-016</t>
        </is>
      </c>
      <c r="B11" s="9" t="inlineStr">
        <is>
          <t>Run Spark/Delta integration and end-to-end rerun validation</t>
        </is>
      </c>
      <c r="C11" s="9" t="inlineStr">
        <is>
          <t>Sprint 2</t>
        </is>
      </c>
      <c r="D11" s="9" t="n">
        <v>3</v>
      </c>
      <c r="E11" s="9" t="n">
        <v>2</v>
      </c>
      <c r="F11" s="11">
        <f>--AND(COLUMN()-5&gt;=$D11,COLUMN()-5&lt;$D11+$E11)</f>
        <v/>
      </c>
      <c r="G11" s="11">
        <f>--AND(COLUMN()-5&gt;=$D11,COLUMN()-5&lt;$D11+$E11)</f>
        <v/>
      </c>
      <c r="H11" s="11">
        <f>--AND(COLUMN()-5&gt;=$D11,COLUMN()-5&lt;$D11+$E11)</f>
        <v/>
      </c>
      <c r="I11" s="11">
        <f>--AND(COLUMN()-5&gt;=$D11,COLUMN()-5&lt;$D11+$E11)</f>
        <v/>
      </c>
      <c r="J11" s="11">
        <f>--AND(COLUMN()-5&gt;=$D11,COLUMN()-5&lt;$D11+$E11)</f>
        <v/>
      </c>
      <c r="K11" s="11">
        <f>--AND(COLUMN()-5&gt;=$D11,COLUMN()-5&lt;$D11+$E11)</f>
        <v/>
      </c>
      <c r="L11" s="11">
        <f>--AND(COLUMN()-5&gt;=$D11,COLUMN()-5&lt;$D11+$E11)</f>
        <v/>
      </c>
      <c r="M11" s="11">
        <f>--AND(COLUMN()-5&gt;=$D11,COLUMN()-5&lt;$D11+$E11)</f>
        <v/>
      </c>
    </row>
    <row r="12" ht="34" customHeight="1">
      <c r="A12" s="8" t="inlineStr">
        <is>
          <t>TMP-020</t>
        </is>
      </c>
      <c r="B12" s="8" t="inlineStr">
        <is>
          <t>Deliver user-accepted trading and P&amp;L dashboard MVP</t>
        </is>
      </c>
      <c r="C12" s="8" t="inlineStr">
        <is>
          <t>Sprint 4</t>
        </is>
      </c>
      <c r="D12" s="8" t="n">
        <v>7</v>
      </c>
      <c r="E12" s="8" t="n">
        <v>2</v>
      </c>
      <c r="F12" s="10">
        <f>--AND(COLUMN()-5&gt;=$D12,COLUMN()-5&lt;$D12+$E12)</f>
        <v/>
      </c>
      <c r="G12" s="10">
        <f>--AND(COLUMN()-5&gt;=$D12,COLUMN()-5&lt;$D12+$E12)</f>
        <v/>
      </c>
      <c r="H12" s="10">
        <f>--AND(COLUMN()-5&gt;=$D12,COLUMN()-5&lt;$D12+$E12)</f>
        <v/>
      </c>
      <c r="I12" s="10">
        <f>--AND(COLUMN()-5&gt;=$D12,COLUMN()-5&lt;$D12+$E12)</f>
        <v/>
      </c>
      <c r="J12" s="10">
        <f>--AND(COLUMN()-5&gt;=$D12,COLUMN()-5&lt;$D12+$E12)</f>
        <v/>
      </c>
      <c r="K12" s="10">
        <f>--AND(COLUMN()-5&gt;=$D12,COLUMN()-5&lt;$D12+$E12)</f>
        <v/>
      </c>
      <c r="L12" s="10">
        <f>--AND(COLUMN()-5&gt;=$D12,COLUMN()-5&lt;$D12+$E12)</f>
        <v/>
      </c>
      <c r="M12" s="10">
        <f>--AND(COLUMN()-5&gt;=$D12,COLUMN()-5&lt;$D12+$E12)</f>
        <v/>
      </c>
    </row>
    <row r="13" ht="34" customHeight="1">
      <c r="A13" s="9" t="inlineStr">
        <is>
          <t>TMP-022</t>
        </is>
      </c>
      <c r="B13" s="9" t="inlineStr">
        <is>
          <t>Complete independent position/P&amp;L reconciliation and UAT</t>
        </is>
      </c>
      <c r="C13" s="9" t="inlineStr">
        <is>
          <t>Sprint 4</t>
        </is>
      </c>
      <c r="D13" s="9" t="n">
        <v>7</v>
      </c>
      <c r="E13" s="9" t="n">
        <v>2</v>
      </c>
      <c r="F13" s="11">
        <f>--AND(COLUMN()-5&gt;=$D13,COLUMN()-5&lt;$D13+$E13)</f>
        <v/>
      </c>
      <c r="G13" s="11">
        <f>--AND(COLUMN()-5&gt;=$D13,COLUMN()-5&lt;$D13+$E13)</f>
        <v/>
      </c>
      <c r="H13" s="11">
        <f>--AND(COLUMN()-5&gt;=$D13,COLUMN()-5&lt;$D13+$E13)</f>
        <v/>
      </c>
      <c r="I13" s="11">
        <f>--AND(COLUMN()-5&gt;=$D13,COLUMN()-5&lt;$D13+$E13)</f>
        <v/>
      </c>
      <c r="J13" s="11">
        <f>--AND(COLUMN()-5&gt;=$D13,COLUMN()-5&lt;$D13+$E13)</f>
        <v/>
      </c>
      <c r="K13" s="11">
        <f>--AND(COLUMN()-5&gt;=$D13,COLUMN()-5&lt;$D13+$E13)</f>
        <v/>
      </c>
      <c r="L13" s="11">
        <f>--AND(COLUMN()-5&gt;=$D13,COLUMN()-5&lt;$D13+$E13)</f>
        <v/>
      </c>
      <c r="M13" s="11">
        <f>--AND(COLUMN()-5&gt;=$D13,COLUMN()-5&lt;$D13+$E13)</f>
        <v/>
      </c>
    </row>
    <row r="14" ht="34" customHeight="1">
      <c r="A14" s="8" t="inlineStr">
        <is>
          <t>TMP-024</t>
        </is>
      </c>
      <c r="B14" s="8" t="inlineStr">
        <is>
          <t>Create support runbook, alerting, and handover</t>
        </is>
      </c>
      <c r="C14" s="8" t="inlineStr">
        <is>
          <t>Sprint 4</t>
        </is>
      </c>
      <c r="D14" s="8" t="n">
        <v>7</v>
      </c>
      <c r="E14" s="8" t="n">
        <v>2</v>
      </c>
      <c r="F14" s="10">
        <f>--AND(COLUMN()-5&gt;=$D14,COLUMN()-5&lt;$D14+$E14)</f>
        <v/>
      </c>
      <c r="G14" s="10">
        <f>--AND(COLUMN()-5&gt;=$D14,COLUMN()-5&lt;$D14+$E14)</f>
        <v/>
      </c>
      <c r="H14" s="10">
        <f>--AND(COLUMN()-5&gt;=$D14,COLUMN()-5&lt;$D14+$E14)</f>
        <v/>
      </c>
      <c r="I14" s="10">
        <f>--AND(COLUMN()-5&gt;=$D14,COLUMN()-5&lt;$D14+$E14)</f>
        <v/>
      </c>
      <c r="J14" s="10">
        <f>--AND(COLUMN()-5&gt;=$D14,COLUMN()-5&lt;$D14+$E14)</f>
        <v/>
      </c>
      <c r="K14" s="10">
        <f>--AND(COLUMN()-5&gt;=$D14,COLUMN()-5&lt;$D14+$E14)</f>
        <v/>
      </c>
      <c r="L14" s="10">
        <f>--AND(COLUMN()-5&gt;=$D14,COLUMN()-5&lt;$D14+$E14)</f>
        <v/>
      </c>
      <c r="M14" s="10">
        <f>--AND(COLUMN()-5&gt;=$D14,COLUMN()-5&lt;$D14+$E14)</f>
        <v/>
      </c>
    </row>
  </sheetData>
  <autoFilter ref="A1:M14"/>
  <conditionalFormatting sqref="F2:F14">
    <cfRule type="expression" priority="1" dxfId="4">
      <formula>F2=1</formula>
    </cfRule>
  </conditionalFormatting>
  <conditionalFormatting sqref="G2:G14">
    <cfRule type="expression" priority="2" dxfId="4">
      <formula>G2=1</formula>
    </cfRule>
  </conditionalFormatting>
  <conditionalFormatting sqref="H2:H14">
    <cfRule type="expression" priority="3" dxfId="4">
      <formula>H2=1</formula>
    </cfRule>
  </conditionalFormatting>
  <conditionalFormatting sqref="I2:I14">
    <cfRule type="expression" priority="4" dxfId="4">
      <formula>I2=1</formula>
    </cfRule>
  </conditionalFormatting>
  <conditionalFormatting sqref="J2:J14">
    <cfRule type="expression" priority="5" dxfId="4">
      <formula>J2=1</formula>
    </cfRule>
  </conditionalFormatting>
  <conditionalFormatting sqref="K2:K14">
    <cfRule type="expression" priority="6" dxfId="4">
      <formula>K2=1</formula>
    </cfRule>
  </conditionalFormatting>
  <conditionalFormatting sqref="L2:L14">
    <cfRule type="expression" priority="7" dxfId="4">
      <formula>L2=1</formula>
    </cfRule>
  </conditionalFormatting>
  <conditionalFormatting sqref="M2:M14">
    <cfRule type="expression" priority="8" dxfId="4">
      <formula>M2=1</formula>
    </cfRule>
  </conditionalFormatting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68" customWidth="1" min="4" max="4"/>
    <col width="32" customWidth="1" min="5" max="5"/>
    <col width="78" customWidth="1" min="6" max="6"/>
    <col width="18" customWidth="1" min="7" max="7"/>
  </cols>
  <sheetData>
    <row r="1" ht="34" customHeight="1">
      <c r="A1" s="7" t="inlineStr">
        <is>
          <t>Milestone ID</t>
        </is>
      </c>
      <c r="B1" s="7" t="inlineStr">
        <is>
          <t>Milestone</t>
        </is>
      </c>
      <c r="C1" s="7" t="inlineStr">
        <is>
          <t>Target timing</t>
        </is>
      </c>
      <c r="D1" s="7" t="inlineStr">
        <is>
          <t>Evidence</t>
        </is>
      </c>
      <c r="E1" s="7" t="inlineStr">
        <is>
          <t>Accountable owner</t>
        </is>
      </c>
      <c r="F1" s="7" t="inlineStr">
        <is>
          <t>Exit gate</t>
        </is>
      </c>
      <c r="G1" s="7" t="inlineStr">
        <is>
          <t>Status</t>
        </is>
      </c>
    </row>
    <row r="2" ht="34" customHeight="1">
      <c r="A2" s="8" t="inlineStr">
        <is>
          <t>M-01</t>
        </is>
      </c>
      <c r="B2" s="8" t="inlineStr">
        <is>
          <t>Scope and requirements baseline</t>
        </is>
      </c>
      <c r="C2" s="8" t="inlineStr">
        <is>
          <t>End Week 2</t>
        </is>
      </c>
      <c r="D2" s="8" t="inlineStr">
        <is>
          <t>Approved BR/FR, NFRs, RAID owners, target access design</t>
        </is>
      </c>
      <c r="E2" s="8" t="inlineStr">
        <is>
          <t>Product Owner / Lead Engineer</t>
        </is>
      </c>
      <c r="F2" s="8" t="inlineStr">
        <is>
          <t>Sources, calculation scope, roles, and acceptance evidence agreed</t>
        </is>
      </c>
      <c r="G2" s="8" t="inlineStr">
        <is>
          <t>Proposed</t>
        </is>
      </c>
    </row>
    <row r="3" ht="34" customHeight="1">
      <c r="A3" s="9" t="inlineStr">
        <is>
          <t>M-02</t>
        </is>
      </c>
      <c r="B3" s="9" t="inlineStr">
        <is>
          <t>Source and data design sign-off</t>
        </is>
      </c>
      <c r="C3" s="9" t="inlineStr">
        <is>
          <t>End Week 4</t>
        </is>
      </c>
      <c r="D3" s="9" t="inlineStr">
        <is>
          <t>Provider decision, source contracts, dictionary, integration test result</t>
        </is>
      </c>
      <c r="E3" s="9" t="inlineStr">
        <is>
          <t>Data Owner / Architect</t>
        </is>
      </c>
      <c r="F3" s="9" t="inlineStr">
        <is>
          <t>Provider rights and supported test runtime confirmed or scope explicitly remains prototype</t>
        </is>
      </c>
      <c r="G3" s="9" t="inlineStr">
        <is>
          <t>Proposed</t>
        </is>
      </c>
    </row>
    <row r="4" ht="34" customHeight="1">
      <c r="A4" s="8" t="inlineStr">
        <is>
          <t>M-03</t>
        </is>
      </c>
      <c r="B4" s="8" t="inlineStr">
        <is>
          <t>Engineering controls ready</t>
        </is>
      </c>
      <c r="C4" s="8" t="inlineStr">
        <is>
          <t>End Week 6</t>
        </is>
      </c>
      <c r="D4" s="8" t="inlineStr">
        <is>
          <t>CI checks, deployment procedure, trade history reconciliation tests</t>
        </is>
      </c>
      <c r="E4" s="8" t="inlineStr">
        <is>
          <t>Lead Engineer</t>
        </is>
      </c>
      <c r="F4" s="8" t="inlineStr">
        <is>
          <t>Reviewed build/deploy and correction behavior proven</t>
        </is>
      </c>
      <c r="G4" s="8" t="inlineStr">
        <is>
          <t>Proposed</t>
        </is>
      </c>
    </row>
    <row r="5" ht="34" customHeight="1">
      <c r="A5" s="9" t="inlineStr">
        <is>
          <t>M-04</t>
        </is>
      </c>
      <c r="B5" s="9" t="inlineStr">
        <is>
          <t>Prototype acceptance and handover</t>
        </is>
      </c>
      <c r="C5" s="9" t="inlineStr">
        <is>
          <t>End Week 8</t>
        </is>
      </c>
      <c r="D5" s="9" t="inlineStr">
        <is>
          <t>Dashboard UAT, end-to-end reconciliation, runbook, open risk acceptance</t>
        </is>
      </c>
      <c r="E5" s="9" t="inlineStr">
        <is>
          <t>Product Owner / Operations</t>
        </is>
      </c>
      <c r="F5" s="9" t="inlineStr">
        <is>
          <t>Business and operations sign-off; no schedule unpause without separate production approval</t>
        </is>
      </c>
      <c r="G5" s="9" t="inlineStr">
        <is>
          <t>Proposed</t>
        </is>
      </c>
    </row>
  </sheetData>
  <autoFilter ref="A1:G5"/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68" customWidth="1" min="3" max="3"/>
    <col width="16" customWidth="1" min="4" max="4"/>
    <col width="16" customWidth="1" min="5" max="5"/>
    <col width="76" customWidth="1" min="6" max="6"/>
    <col width="30" customWidth="1" min="7" max="7"/>
    <col width="18" customWidth="1" min="8" max="8"/>
  </cols>
  <sheetData>
    <row r="1" ht="34" customHeight="1">
      <c r="A1" s="7" t="inlineStr">
        <is>
          <t>RAID ID</t>
        </is>
      </c>
      <c r="B1" s="7" t="inlineStr">
        <is>
          <t>Type</t>
        </is>
      </c>
      <c r="C1" s="7" t="inlineStr">
        <is>
          <t>Description</t>
        </is>
      </c>
      <c r="D1" s="7" t="inlineStr">
        <is>
          <t>Probability</t>
        </is>
      </c>
      <c r="E1" s="7" t="inlineStr">
        <is>
          <t>Impact</t>
        </is>
      </c>
      <c r="F1" s="7" t="inlineStr">
        <is>
          <t>Mitigation / action</t>
        </is>
      </c>
      <c r="G1" s="7" t="inlineStr">
        <is>
          <t>Owner</t>
        </is>
      </c>
      <c r="H1" s="7" t="inlineStr">
        <is>
          <t>Status</t>
        </is>
      </c>
    </row>
    <row r="2" ht="34" customHeight="1">
      <c r="A2" s="8" t="inlineStr">
        <is>
          <t>R-01</t>
        </is>
      </c>
      <c r="B2" s="8" t="inlineStr">
        <is>
          <t>Risk</t>
        </is>
      </c>
      <c r="C2" s="8" t="inlineStr">
        <is>
          <t>Yahoo Finance is not established as an approved or licensed institutional market-data source.</t>
        </is>
      </c>
      <c r="D2" s="8" t="inlineStr">
        <is>
          <t>High</t>
        </is>
      </c>
      <c r="E2" s="8" t="inlineStr">
        <is>
          <t>High</t>
        </is>
      </c>
      <c r="F2" s="8" t="inlineStr">
        <is>
          <t>Obtain provider/data-rights decision in Sprint 2; keep production scope blocked until approved source is selected.</t>
        </is>
      </c>
      <c r="G2" s="8" t="inlineStr">
        <is>
          <t>Market Data Owner</t>
        </is>
      </c>
      <c r="H2" s="8" t="inlineStr">
        <is>
          <t>Open</t>
        </is>
      </c>
    </row>
    <row r="3" ht="34" customHeight="1">
      <c r="A3" s="9" t="inlineStr">
        <is>
          <t>R-02</t>
        </is>
      </c>
      <c r="B3" s="9" t="inlineStr">
        <is>
          <t>Risk</t>
        </is>
      </c>
      <c r="C3" s="9" t="inlineStr">
        <is>
          <t>Full-snapshot trade Bronze can leave stale Silver trades when trade IDs disappear from later files.</t>
        </is>
      </c>
      <c r="D3" s="9" t="inlineStr">
        <is>
          <t>Medium</t>
        </is>
      </c>
      <c r="E3" s="9" t="inlineStr">
        <is>
          <t>High</t>
        </is>
      </c>
      <c r="F3" s="9" t="inlineStr">
        <is>
          <t>Agree cancellation/deletion semantics and implement two-snapshot reconciliation test before relying on external trade feed.</t>
        </is>
      </c>
      <c r="G3" s="9" t="inlineStr">
        <is>
          <t>Trade Data Owner</t>
        </is>
      </c>
      <c r="H3" s="9" t="inlineStr">
        <is>
          <t>Open</t>
        </is>
      </c>
    </row>
    <row r="4" ht="34" customHeight="1">
      <c r="A4" s="8" t="inlineStr">
        <is>
          <t>R-03</t>
        </is>
      </c>
      <c r="B4" s="8" t="inlineStr">
        <is>
          <t>Risk</t>
        </is>
      </c>
      <c r="C4" s="8" t="inlineStr">
        <is>
          <t>Full-history recomputation and free-form instrument/book data may not scale or satisfy control expectations.</t>
        </is>
      </c>
      <c r="D4" s="8" t="inlineStr">
        <is>
          <t>Medium</t>
        </is>
      </c>
      <c r="E4" s="8" t="inlineStr">
        <is>
          <t>High</t>
        </is>
      </c>
      <c r="F4" s="8" t="inlineStr">
        <is>
          <t>Benchmark representative scale; establish reference ownership and incremental strategy from evidence.</t>
        </is>
      </c>
      <c r="G4" s="8" t="inlineStr">
        <is>
          <t>Lead Data Engineer</t>
        </is>
      </c>
      <c r="H4" s="8" t="inlineStr">
        <is>
          <t>Open</t>
        </is>
      </c>
    </row>
    <row r="5" ht="34" customHeight="1">
      <c r="A5" s="9" t="inlineStr">
        <is>
          <t>R-04</t>
        </is>
      </c>
      <c r="B5" s="9" t="inlineStr">
        <is>
          <t>Risk</t>
        </is>
      </c>
      <c r="C5" s="9" t="inlineStr">
        <is>
          <t>Eight-week plan has no capacity reserve and depends on part-time approvers and test runtime access.</t>
        </is>
      </c>
      <c r="D5" s="9" t="inlineStr">
        <is>
          <t>Medium</t>
        </is>
      </c>
      <c r="E5" s="9" t="inlineStr">
        <is>
          <t>High</t>
        </is>
      </c>
      <c r="F5" s="9" t="inlineStr">
        <is>
          <t>Reserve decision owners at Sprint start; defer dashboard polish or extend by one sprint if critical access/decisions slip.</t>
        </is>
      </c>
      <c r="G5" s="9" t="inlineStr">
        <is>
          <t>Project Manager</t>
        </is>
      </c>
      <c r="H5" s="9" t="inlineStr">
        <is>
          <t>Open</t>
        </is>
      </c>
    </row>
    <row r="6" ht="34" customHeight="1">
      <c r="A6" s="8" t="inlineStr">
        <is>
          <t>A-01</t>
        </is>
      </c>
      <c r="B6" s="8" t="inlineStr">
        <is>
          <t>Assumption</t>
        </is>
      </c>
      <c r="C6" s="8" t="inlineStr">
        <is>
          <t>Initial scope remains USD cash equities, 10 configured instruments, and one development workspace.</t>
        </is>
      </c>
      <c r="D6" s="8" t="inlineStr">
        <is>
          <t>N/A</t>
        </is>
      </c>
      <c r="E6" s="8" t="inlineStr">
        <is>
          <t>High</t>
        </is>
      </c>
      <c r="F6" s="8" t="inlineStr">
        <is>
          <t>Product owner confirms before Sprint 1 exit; FX, derivatives, fees, and corporate actions stay out of scope.</t>
        </is>
      </c>
      <c r="G6" s="8" t="inlineStr">
        <is>
          <t>Product Owner</t>
        </is>
      </c>
      <c r="H6" s="8" t="inlineStr">
        <is>
          <t>To confirm</t>
        </is>
      </c>
    </row>
    <row r="7" ht="34" customHeight="1">
      <c r="A7" s="9" t="inlineStr">
        <is>
          <t>I-01</t>
        </is>
      </c>
      <c r="B7" s="9" t="inlineStr">
        <is>
          <t>Issue</t>
        </is>
      </c>
      <c r="C7" s="9" t="inlineStr">
        <is>
          <t>A documented second same-parameter Databricks run was queued and has no recorded outcome.</t>
        </is>
      </c>
      <c r="D7" s="9" t="inlineStr">
        <is>
          <t>N/A</t>
        </is>
      </c>
      <c r="E7" s="9" t="inlineStr">
        <is>
          <t>Medium</t>
        </is>
      </c>
      <c r="F7" s="9" t="inlineStr">
        <is>
          <t>Run and compare business keys/values in a supported runtime; retain evidence.</t>
        </is>
      </c>
      <c r="G7" s="9" t="inlineStr">
        <is>
          <t>QA / Lead Engineer</t>
        </is>
      </c>
      <c r="H7" s="9" t="inlineStr">
        <is>
          <t>Open</t>
        </is>
      </c>
    </row>
    <row r="8" ht="34" customHeight="1">
      <c r="A8" s="8" t="inlineStr">
        <is>
          <t>I-02</t>
        </is>
      </c>
      <c r="B8" s="8" t="inlineStr">
        <is>
          <t>Issue</t>
        </is>
      </c>
      <c r="C8" s="8" t="inlineStr">
        <is>
          <t>Three focused local tests fail because they read removed Silver *_constraints.sql files; the checks now reside in consolidated trades.sql and market_prices.sql.</t>
        </is>
      </c>
      <c r="D8" s="8" t="inlineStr">
        <is>
          <t>N/A</t>
        </is>
      </c>
      <c r="E8" s="8" t="inlineStr">
        <is>
          <t>Medium</t>
        </is>
      </c>
      <c r="F8" s="8" t="inlineStr">
        <is>
          <t>Update stale test paths and assertions to the consolidated DDL, then rerun focused and full suite; application/test changes are outside this documentation task.</t>
        </is>
      </c>
      <c r="G8" s="8" t="inlineStr">
        <is>
          <t>Lead Engineer / QA</t>
        </is>
      </c>
      <c r="H8" s="8" t="inlineStr">
        <is>
          <t>Open</t>
        </is>
      </c>
    </row>
    <row r="9" ht="34" customHeight="1">
      <c r="A9" s="9" t="inlineStr">
        <is>
          <t>D-01</t>
        </is>
      </c>
      <c r="B9" s="9" t="inlineStr">
        <is>
          <t>Dependency</t>
        </is>
      </c>
      <c r="C9" s="9" t="inlineStr">
        <is>
          <t>Production environment, service principal, data rights, source owners, and reporting audience are not evidenced.</t>
        </is>
      </c>
      <c r="D9" s="9" t="inlineStr">
        <is>
          <t>High</t>
        </is>
      </c>
      <c r="E9" s="9" t="inlineStr">
        <is>
          <t>High</t>
        </is>
      </c>
      <c r="F9" s="9" t="inlineStr">
        <is>
          <t>Record named decision owner and due date; keep job schedule paused until readiness gate.</t>
        </is>
      </c>
      <c r="G9" s="9" t="inlineStr">
        <is>
          <t>Project Manager</t>
        </is>
      </c>
      <c r="H9" s="9" t="inlineStr">
        <is>
          <t>Open</t>
        </is>
      </c>
    </row>
    <row r="10" ht="34" customHeight="1">
      <c r="A10" s="8" t="inlineStr">
        <is>
          <t>A-02</t>
        </is>
      </c>
      <c r="B10" s="8" t="inlineStr">
        <is>
          <t>Assumption</t>
        </is>
      </c>
      <c r="C10" s="8" t="inlineStr">
        <is>
          <t>Two-week sprint estimates use 10 story points of lead-engineer delivery capacity per sprint, with part-time BA/architect/QA support.</t>
        </is>
      </c>
      <c r="D10" s="8" t="inlineStr">
        <is>
          <t>N/A</t>
        </is>
      </c>
      <c r="E10" s="8" t="inlineStr">
        <is>
          <t>Medium</t>
        </is>
      </c>
      <c r="F10" s="8" t="inlineStr">
        <is>
          <t>Re-estimate at planning; the eight-week baseline has no reserve and is not a committed calendar date.</t>
        </is>
      </c>
      <c r="G10" s="8" t="inlineStr">
        <is>
          <t>Project Manager</t>
        </is>
      </c>
      <c r="H10" s="8" t="inlineStr">
        <is>
          <t>Proposed</t>
        </is>
      </c>
    </row>
  </sheetData>
  <autoFilter ref="A1:H10"/>
  <conditionalFormatting sqref="H2:H10">
    <cfRule type="expression" priority="1" dxfId="2">
      <formula>H2="Open"</formula>
    </cfRule>
    <cfRule type="expression" priority="2" dxfId="1">
      <formula>H2="To confirm"</formula>
    </cfRule>
    <cfRule type="expression" priority="3" dxfId="3">
      <formula>H2="Proposed"</formula>
    </cfRule>
  </conditionalFormatting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8" customWidth="1" min="4" max="4"/>
    <col width="84" customWidth="1" min="5" max="5"/>
    <col width="24" customWidth="1" min="6" max="6"/>
  </cols>
  <sheetData>
    <row r="1" ht="34" customHeight="1">
      <c r="A1" s="7" t="inlineStr">
        <is>
          <t>Business requirement</t>
        </is>
      </c>
      <c r="B1" s="7" t="inlineStr">
        <is>
          <t>Functional requirement</t>
        </is>
      </c>
      <c r="C1" s="7" t="inlineStr">
        <is>
          <t>Jira story</t>
        </is>
      </c>
      <c r="D1" s="7" t="inlineStr">
        <is>
          <t>Test case(s)</t>
        </is>
      </c>
      <c r="E1" s="7" t="inlineStr">
        <is>
          <t>Acceptance evidence</t>
        </is>
      </c>
      <c r="F1" s="7" t="inlineStr">
        <is>
          <t>Implementation status</t>
        </is>
      </c>
    </row>
    <row r="2" ht="34" customHeight="1">
      <c r="A2" s="8" t="inlineStr">
        <is>
          <t>BR-001</t>
        </is>
      </c>
      <c r="B2" s="8" t="inlineStr">
        <is>
          <t>FR-001</t>
        </is>
      </c>
      <c r="C2" s="8" t="inlineStr">
        <is>
          <t>TMP-011</t>
        </is>
      </c>
      <c r="D2" s="8" t="inlineStr">
        <is>
          <t>TC-001</t>
        </is>
      </c>
      <c r="E2" s="8" t="inlineStr">
        <is>
          <t>tests/test_ingest_trades.py; capture supported-runtime run</t>
        </is>
      </c>
      <c r="F2" s="8" t="inlineStr">
        <is>
          <t>IMPLEMENTED</t>
        </is>
      </c>
    </row>
    <row r="3" ht="34" customHeight="1">
      <c r="A3" s="9" t="inlineStr">
        <is>
          <t>BR-001</t>
        </is>
      </c>
      <c r="B3" s="9" t="inlineStr">
        <is>
          <t>FR-003</t>
        </is>
      </c>
      <c r="C3" s="9" t="inlineStr">
        <is>
          <t>TMP-015</t>
        </is>
      </c>
      <c r="D3" s="9" t="inlineStr">
        <is>
          <t>TC-003</t>
        </is>
      </c>
      <c r="E3" s="9" t="inlineStr">
        <is>
          <t>tests/test_trades.py; tests/test_process_prices.py</t>
        </is>
      </c>
      <c r="F3" s="9" t="inlineStr">
        <is>
          <t>IMPLEMENTED</t>
        </is>
      </c>
    </row>
    <row r="4" ht="34" customHeight="1">
      <c r="A4" s="8" t="inlineStr">
        <is>
          <t>BR-001</t>
        </is>
      </c>
      <c r="B4" s="8" t="inlineStr">
        <is>
          <t>FR-003</t>
        </is>
      </c>
      <c r="C4" s="8" t="inlineStr">
        <is>
          <t>TMP-016</t>
        </is>
      </c>
      <c r="D4" s="8" t="inlineStr">
        <is>
          <t>TC-003; TC-007</t>
        </is>
      </c>
      <c r="E4" s="8" t="inlineStr">
        <is>
          <t>tests/test_trades.py; tests/test_process_prices.py; database/tables/**/*.sql; generated Data Dictionary worksheet; update tests that still reference removed *_constraints.sql paths</t>
        </is>
      </c>
      <c r="F4" s="8" t="inlineStr">
        <is>
          <t>PLANNED</t>
        </is>
      </c>
    </row>
    <row r="5" ht="34" customHeight="1">
      <c r="A5" s="9" t="inlineStr">
        <is>
          <t>BR-001</t>
        </is>
      </c>
      <c r="B5" s="9" t="inlineStr">
        <is>
          <t>FR-004</t>
        </is>
      </c>
      <c r="C5" s="9" t="inlineStr">
        <is>
          <t>TMP-015</t>
        </is>
      </c>
      <c r="D5" s="9" t="inlineStr">
        <is>
          <t>TC-003</t>
        </is>
      </c>
      <c r="E5" s="9" t="inlineStr">
        <is>
          <t>tests/test_trades.py; tests/test_process_prices.py</t>
        </is>
      </c>
      <c r="F5" s="9" t="inlineStr">
        <is>
          <t>IMPLEMENTED</t>
        </is>
      </c>
    </row>
    <row r="6" ht="34" customHeight="1">
      <c r="A6" s="8" t="inlineStr">
        <is>
          <t>BR-001</t>
        </is>
      </c>
      <c r="B6" s="8" t="inlineStr">
        <is>
          <t>FR-004</t>
        </is>
      </c>
      <c r="C6" s="8" t="inlineStr">
        <is>
          <t>TMP-012</t>
        </is>
      </c>
      <c r="D6" s="8" t="inlineStr">
        <is>
          <t>TC-003</t>
        </is>
      </c>
      <c r="E6" s="8" t="inlineStr">
        <is>
          <t>tests/test_trades.py; tests/test_process_prices.py</t>
        </is>
      </c>
      <c r="F6" s="8" t="inlineStr">
        <is>
          <t>PLANNED</t>
        </is>
      </c>
    </row>
    <row r="7" ht="34" customHeight="1">
      <c r="A7" s="9" t="inlineStr">
        <is>
          <t>BR-001</t>
        </is>
      </c>
      <c r="B7" s="9" t="inlineStr">
        <is>
          <t>FR-005</t>
        </is>
      </c>
      <c r="C7" s="9" t="inlineStr">
        <is>
          <t>TMP-015</t>
        </is>
      </c>
      <c r="D7" s="9" t="inlineStr">
        <is>
          <t>TC-003</t>
        </is>
      </c>
      <c r="E7" s="9" t="inlineStr">
        <is>
          <t>tests/test_trades.py; tests/test_process_prices.py</t>
        </is>
      </c>
      <c r="F7" s="9" t="inlineStr">
        <is>
          <t>IMPLEMENTED</t>
        </is>
      </c>
    </row>
    <row r="8" ht="34" customHeight="1">
      <c r="A8" s="8" t="inlineStr">
        <is>
          <t>BR-001</t>
        </is>
      </c>
      <c r="B8" s="8" t="inlineStr">
        <is>
          <t>FR-005</t>
        </is>
      </c>
      <c r="C8" s="8" t="inlineStr">
        <is>
          <t>TMP-016</t>
        </is>
      </c>
      <c r="D8" s="8" t="inlineStr">
        <is>
          <t>TC-002; TC-003</t>
        </is>
      </c>
      <c r="E8" s="8" t="inlineStr">
        <is>
          <t>tests/test_ingest_prices.py; test fixtures; tests/test_trades.py; tests/test_process_prices.py</t>
        </is>
      </c>
      <c r="F8" s="8" t="inlineStr">
        <is>
          <t>PLANNED</t>
        </is>
      </c>
    </row>
    <row r="9" ht="34" customHeight="1">
      <c r="A9" s="9" t="inlineStr">
        <is>
          <t>BR-001</t>
        </is>
      </c>
      <c r="B9" s="9" t="inlineStr">
        <is>
          <t>FR-013</t>
        </is>
      </c>
      <c r="C9" s="9" t="inlineStr">
        <is>
          <t>TMP-016</t>
        </is>
      </c>
      <c r="D9" s="9" t="inlineStr">
        <is>
          <t>TC-008; TC-009</t>
        </is>
      </c>
      <c r="E9" s="9" t="inlineStr">
        <is>
          <t>New supported Databricks/Delta run pair; compare business-key hashes; Job run URL, audit rows, recovery run and reconciliation</t>
        </is>
      </c>
      <c r="F9" s="9" t="inlineStr">
        <is>
          <t>PLANNED</t>
        </is>
      </c>
    </row>
    <row r="10" ht="34" customHeight="1">
      <c r="A10" s="8" t="inlineStr">
        <is>
          <t>BR-001</t>
        </is>
      </c>
      <c r="B10" s="8" t="inlineStr">
        <is>
          <t>FR-013</t>
        </is>
      </c>
      <c r="C10" s="8" t="inlineStr">
        <is>
          <t>TMP-022</t>
        </is>
      </c>
      <c r="D10" s="8" t="inlineStr">
        <is>
          <t>TC-008</t>
        </is>
      </c>
      <c r="E10" s="8" t="inlineStr">
        <is>
          <t>New supported Databricks/Delta run pair; compare business-key hashes</t>
        </is>
      </c>
      <c r="F10" s="8" t="inlineStr">
        <is>
          <t>PARTIALLY IMPLEMENTED</t>
        </is>
      </c>
    </row>
    <row r="11" ht="34" customHeight="1">
      <c r="A11" s="9" t="inlineStr">
        <is>
          <t>BR-001</t>
        </is>
      </c>
      <c r="B11" s="9" t="inlineStr">
        <is>
          <t>FR-013</t>
        </is>
      </c>
      <c r="C11" s="9" t="inlineStr">
        <is>
          <t>TMP-024</t>
        </is>
      </c>
      <c r="D11" s="9" t="inlineStr">
        <is>
          <t>TC-009; TC-012</t>
        </is>
      </c>
      <c r="E11" s="9" t="inlineStr">
        <is>
          <t>Job run URL, audit rows, recovery run and reconciliation; Access review, CI/deploy log, alert test, runbook walkthrough</t>
        </is>
      </c>
      <c r="F11" s="9" t="inlineStr">
        <is>
          <t>PLANNED</t>
        </is>
      </c>
    </row>
    <row r="12" ht="34" customHeight="1">
      <c r="A12" s="8" t="inlineStr">
        <is>
          <t>BR-002</t>
        </is>
      </c>
      <c r="B12" s="8" t="inlineStr">
        <is>
          <t>FR-002</t>
        </is>
      </c>
      <c r="C12" s="8" t="inlineStr">
        <is>
          <t>TMP-013</t>
        </is>
      </c>
      <c r="D12" s="8" t="inlineStr">
        <is>
          <t>TC-002</t>
        </is>
      </c>
      <c r="E12" s="8" t="inlineStr">
        <is>
          <t>tests/test_ingest_prices.py; test fixtures</t>
        </is>
      </c>
      <c r="F12" s="8" t="inlineStr">
        <is>
          <t>IMPLEMENTED</t>
        </is>
      </c>
    </row>
    <row r="13" ht="34" customHeight="1">
      <c r="A13" s="9" t="inlineStr">
        <is>
          <t>BR-002</t>
        </is>
      </c>
      <c r="B13" s="9" t="inlineStr">
        <is>
          <t>FR-002</t>
        </is>
      </c>
      <c r="C13" s="9" t="inlineStr">
        <is>
          <t>TMP-014</t>
        </is>
      </c>
      <c r="D13" s="9" t="inlineStr">
        <is>
          <t>TC-002</t>
        </is>
      </c>
      <c r="E13" s="9" t="inlineStr">
        <is>
          <t>tests/test_ingest_prices.py; test fixtures</t>
        </is>
      </c>
      <c r="F13" s="9" t="inlineStr">
        <is>
          <t>PLANNED</t>
        </is>
      </c>
    </row>
    <row r="14" ht="34" customHeight="1">
      <c r="A14" s="8" t="inlineStr">
        <is>
          <t>BR-002</t>
        </is>
      </c>
      <c r="B14" s="8" t="inlineStr">
        <is>
          <t>FR-003</t>
        </is>
      </c>
      <c r="C14" s="8" t="inlineStr">
        <is>
          <t>TMP-015</t>
        </is>
      </c>
      <c r="D14" s="8" t="inlineStr">
        <is>
          <t>TC-003</t>
        </is>
      </c>
      <c r="E14" s="8" t="inlineStr">
        <is>
          <t>tests/test_trades.py; tests/test_process_prices.py</t>
        </is>
      </c>
      <c r="F14" s="8" t="inlineStr">
        <is>
          <t>IMPLEMENTED</t>
        </is>
      </c>
    </row>
    <row r="15" ht="34" customHeight="1">
      <c r="A15" s="9" t="inlineStr">
        <is>
          <t>BR-002</t>
        </is>
      </c>
      <c r="B15" s="9" t="inlineStr">
        <is>
          <t>FR-003</t>
        </is>
      </c>
      <c r="C15" s="9" t="inlineStr">
        <is>
          <t>TMP-016</t>
        </is>
      </c>
      <c r="D15" s="9" t="inlineStr">
        <is>
          <t>TC-003; TC-007</t>
        </is>
      </c>
      <c r="E15" s="9" t="inlineStr">
        <is>
          <t>tests/test_trades.py; tests/test_process_prices.py; database/tables/**/*.sql; generated Data Dictionary worksheet; update tests that still reference removed *_constraints.sql paths</t>
        </is>
      </c>
      <c r="F15" s="9" t="inlineStr">
        <is>
          <t>PLANNED</t>
        </is>
      </c>
    </row>
    <row r="16" ht="34" customHeight="1">
      <c r="A16" s="8" t="inlineStr">
        <is>
          <t>BR-002</t>
        </is>
      </c>
      <c r="B16" s="8" t="inlineStr">
        <is>
          <t>FR-005</t>
        </is>
      </c>
      <c r="C16" s="8" t="inlineStr">
        <is>
          <t>TMP-015</t>
        </is>
      </c>
      <c r="D16" s="8" t="inlineStr">
        <is>
          <t>TC-003</t>
        </is>
      </c>
      <c r="E16" s="8" t="inlineStr">
        <is>
          <t>tests/test_trades.py; tests/test_process_prices.py</t>
        </is>
      </c>
      <c r="F16" s="8" t="inlineStr">
        <is>
          <t>IMPLEMENTED</t>
        </is>
      </c>
    </row>
    <row r="17" ht="34" customHeight="1">
      <c r="A17" s="9" t="inlineStr">
        <is>
          <t>BR-002</t>
        </is>
      </c>
      <c r="B17" s="9" t="inlineStr">
        <is>
          <t>FR-005</t>
        </is>
      </c>
      <c r="C17" s="9" t="inlineStr">
        <is>
          <t>TMP-016</t>
        </is>
      </c>
      <c r="D17" s="9" t="inlineStr">
        <is>
          <t>TC-002; TC-003</t>
        </is>
      </c>
      <c r="E17" s="9" t="inlineStr">
        <is>
          <t>tests/test_ingest_prices.py; test fixtures; tests/test_trades.py; tests/test_process_prices.py</t>
        </is>
      </c>
      <c r="F17" s="9" t="inlineStr">
        <is>
          <t>PLANNED</t>
        </is>
      </c>
    </row>
    <row r="18" ht="34" customHeight="1">
      <c r="A18" s="8" t="inlineStr">
        <is>
          <t>BR-002</t>
        </is>
      </c>
      <c r="B18" s="8" t="inlineStr">
        <is>
          <t>FR-013</t>
        </is>
      </c>
      <c r="C18" s="8" t="inlineStr">
        <is>
          <t>TMP-016</t>
        </is>
      </c>
      <c r="D18" s="8" t="inlineStr">
        <is>
          <t>TC-008; TC-009</t>
        </is>
      </c>
      <c r="E18" s="8" t="inlineStr">
        <is>
          <t>New supported Databricks/Delta run pair; compare business-key hashes; Job run URL, audit rows, recovery run and reconciliation</t>
        </is>
      </c>
      <c r="F18" s="8" t="inlineStr">
        <is>
          <t>PLANNED</t>
        </is>
      </c>
    </row>
    <row r="19" ht="34" customHeight="1">
      <c r="A19" s="9" t="inlineStr">
        <is>
          <t>BR-002</t>
        </is>
      </c>
      <c r="B19" s="9" t="inlineStr">
        <is>
          <t>FR-013</t>
        </is>
      </c>
      <c r="C19" s="9" t="inlineStr">
        <is>
          <t>TMP-022</t>
        </is>
      </c>
      <c r="D19" s="9" t="inlineStr">
        <is>
          <t>TC-008</t>
        </is>
      </c>
      <c r="E19" s="9" t="inlineStr">
        <is>
          <t>New supported Databricks/Delta run pair; compare business-key hashes</t>
        </is>
      </c>
      <c r="F19" s="9" t="inlineStr">
        <is>
          <t>PARTIALLY IMPLEMENTED</t>
        </is>
      </c>
    </row>
    <row r="20" ht="34" customHeight="1">
      <c r="A20" s="8" t="inlineStr">
        <is>
          <t>BR-002</t>
        </is>
      </c>
      <c r="B20" s="8" t="inlineStr">
        <is>
          <t>FR-013</t>
        </is>
      </c>
      <c r="C20" s="8" t="inlineStr">
        <is>
          <t>TMP-024</t>
        </is>
      </c>
      <c r="D20" s="8" t="inlineStr">
        <is>
          <t>TC-009; TC-012</t>
        </is>
      </c>
      <c r="E20" s="8" t="inlineStr">
        <is>
          <t>Job run URL, audit rows, recovery run and reconciliation; Access review, CI/deploy log, alert test, runbook walkthrough</t>
        </is>
      </c>
      <c r="F20" s="8" t="inlineStr">
        <is>
          <t>PLANNED</t>
        </is>
      </c>
    </row>
    <row r="21" ht="34" customHeight="1">
      <c r="A21" s="9" t="inlineStr">
        <is>
          <t>BR-003</t>
        </is>
      </c>
      <c r="B21" s="9" t="inlineStr">
        <is>
          <t>FR-004</t>
        </is>
      </c>
      <c r="C21" s="9" t="inlineStr">
        <is>
          <t>TMP-015</t>
        </is>
      </c>
      <c r="D21" s="9" t="inlineStr">
        <is>
          <t>TC-003</t>
        </is>
      </c>
      <c r="E21" s="9" t="inlineStr">
        <is>
          <t>tests/test_trades.py; tests/test_process_prices.py</t>
        </is>
      </c>
      <c r="F21" s="9" t="inlineStr">
        <is>
          <t>IMPLEMENTED</t>
        </is>
      </c>
    </row>
    <row r="22" ht="34" customHeight="1">
      <c r="A22" s="8" t="inlineStr">
        <is>
          <t>BR-003</t>
        </is>
      </c>
      <c r="B22" s="8" t="inlineStr">
        <is>
          <t>FR-004</t>
        </is>
      </c>
      <c r="C22" s="8" t="inlineStr">
        <is>
          <t>TMP-012</t>
        </is>
      </c>
      <c r="D22" s="8" t="inlineStr">
        <is>
          <t>TC-003</t>
        </is>
      </c>
      <c r="E22" s="8" t="inlineStr">
        <is>
          <t>tests/test_trades.py; tests/test_process_prices.py</t>
        </is>
      </c>
      <c r="F22" s="8" t="inlineStr">
        <is>
          <t>PLANNED</t>
        </is>
      </c>
    </row>
    <row r="23" ht="34" customHeight="1">
      <c r="A23" s="9" t="inlineStr">
        <is>
          <t>BR-003</t>
        </is>
      </c>
      <c r="B23" s="9" t="inlineStr">
        <is>
          <t>FR-005</t>
        </is>
      </c>
      <c r="C23" s="9" t="inlineStr">
        <is>
          <t>TMP-015</t>
        </is>
      </c>
      <c r="D23" s="9" t="inlineStr">
        <is>
          <t>TC-003</t>
        </is>
      </c>
      <c r="E23" s="9" t="inlineStr">
        <is>
          <t>tests/test_trades.py; tests/test_process_prices.py</t>
        </is>
      </c>
      <c r="F23" s="9" t="inlineStr">
        <is>
          <t>IMPLEMENTED</t>
        </is>
      </c>
    </row>
    <row r="24" ht="34" customHeight="1">
      <c r="A24" s="8" t="inlineStr">
        <is>
          <t>BR-003</t>
        </is>
      </c>
      <c r="B24" s="8" t="inlineStr">
        <is>
          <t>FR-005</t>
        </is>
      </c>
      <c r="C24" s="8" t="inlineStr">
        <is>
          <t>TMP-016</t>
        </is>
      </c>
      <c r="D24" s="8" t="inlineStr">
        <is>
          <t>TC-002; TC-003</t>
        </is>
      </c>
      <c r="E24" s="8" t="inlineStr">
        <is>
          <t>tests/test_ingest_prices.py; test fixtures; tests/test_trades.py; tests/test_process_prices.py</t>
        </is>
      </c>
      <c r="F24" s="8" t="inlineStr">
        <is>
          <t>PLANNED</t>
        </is>
      </c>
    </row>
    <row r="25" ht="34" customHeight="1">
      <c r="A25" s="9" t="inlineStr">
        <is>
          <t>BR-003</t>
        </is>
      </c>
      <c r="B25" s="9" t="inlineStr">
        <is>
          <t>FR-009</t>
        </is>
      </c>
      <c r="C25" s="9" t="inlineStr">
        <is>
          <t>TMP-012</t>
        </is>
      </c>
      <c r="D25" s="9" t="inlineStr">
        <is>
          <t>TC-004; TC-008</t>
        </is>
      </c>
      <c r="E25" s="9" t="inlineStr">
        <is>
          <t>tests/test_build_positions.py; independent SQL reconciliation; New supported Databricks/Delta run pair; compare business-key hashes</t>
        </is>
      </c>
      <c r="F25" s="9" t="inlineStr">
        <is>
          <t>PLANNED</t>
        </is>
      </c>
    </row>
    <row r="26" ht="34" customHeight="1">
      <c r="A26" s="8" t="inlineStr">
        <is>
          <t>BR-003</t>
        </is>
      </c>
      <c r="B26" s="8" t="inlineStr">
        <is>
          <t>FR-009</t>
        </is>
      </c>
      <c r="C26" s="8" t="inlineStr">
        <is>
          <t>TMP-017</t>
        </is>
      </c>
      <c r="D26" s="8" t="inlineStr">
        <is>
          <t>TC-004</t>
        </is>
      </c>
      <c r="E26" s="8" t="inlineStr">
        <is>
          <t>tests/test_build_positions.py; independent SQL reconciliation</t>
        </is>
      </c>
      <c r="F26" s="8" t="inlineStr">
        <is>
          <t>IMPLEMENTED</t>
        </is>
      </c>
    </row>
    <row r="27" ht="34" customHeight="1">
      <c r="A27" s="9" t="inlineStr">
        <is>
          <t>BR-003</t>
        </is>
      </c>
      <c r="B27" s="9" t="inlineStr">
        <is>
          <t>FR-009</t>
        </is>
      </c>
      <c r="C27" s="9" t="inlineStr">
        <is>
          <t>TMP-018</t>
        </is>
      </c>
      <c r="D27" s="9" t="inlineStr">
        <is>
          <t>TC-004; TC-008</t>
        </is>
      </c>
      <c r="E27" s="9" t="inlineStr">
        <is>
          <t>tests/test_build_positions.py; independent SQL reconciliation; New supported Databricks/Delta run pair; compare business-key hashes</t>
        </is>
      </c>
      <c r="F27" s="9" t="inlineStr">
        <is>
          <t>IMPLEMENTED</t>
        </is>
      </c>
    </row>
    <row r="28" ht="34" customHeight="1">
      <c r="A28" s="8" t="inlineStr">
        <is>
          <t>BR-003</t>
        </is>
      </c>
      <c r="B28" s="8" t="inlineStr">
        <is>
          <t>FR-013</t>
        </is>
      </c>
      <c r="C28" s="8" t="inlineStr">
        <is>
          <t>TMP-016</t>
        </is>
      </c>
      <c r="D28" s="8" t="inlineStr">
        <is>
          <t>TC-008; TC-009</t>
        </is>
      </c>
      <c r="E28" s="8" t="inlineStr">
        <is>
          <t>New supported Databricks/Delta run pair; compare business-key hashes; Job run URL, audit rows, recovery run and reconciliation</t>
        </is>
      </c>
      <c r="F28" s="8" t="inlineStr">
        <is>
          <t>PLANNED</t>
        </is>
      </c>
    </row>
    <row r="29" ht="34" customHeight="1">
      <c r="A29" s="9" t="inlineStr">
        <is>
          <t>BR-003</t>
        </is>
      </c>
      <c r="B29" s="9" t="inlineStr">
        <is>
          <t>FR-013</t>
        </is>
      </c>
      <c r="C29" s="9" t="inlineStr">
        <is>
          <t>TMP-022</t>
        </is>
      </c>
      <c r="D29" s="9" t="inlineStr">
        <is>
          <t>TC-008</t>
        </is>
      </c>
      <c r="E29" s="9" t="inlineStr">
        <is>
          <t>New supported Databricks/Delta run pair; compare business-key hashes</t>
        </is>
      </c>
      <c r="F29" s="9" t="inlineStr">
        <is>
          <t>PARTIALLY IMPLEMENTED</t>
        </is>
      </c>
    </row>
    <row r="30" ht="34" customHeight="1">
      <c r="A30" s="8" t="inlineStr">
        <is>
          <t>BR-003</t>
        </is>
      </c>
      <c r="B30" s="8" t="inlineStr">
        <is>
          <t>FR-013</t>
        </is>
      </c>
      <c r="C30" s="8" t="inlineStr">
        <is>
          <t>TMP-024</t>
        </is>
      </c>
      <c r="D30" s="8" t="inlineStr">
        <is>
          <t>TC-009; TC-012</t>
        </is>
      </c>
      <c r="E30" s="8" t="inlineStr">
        <is>
          <t>Job run URL, audit rows, recovery run and reconciliation; Access review, CI/deploy log, alert test, runbook walkthrough</t>
        </is>
      </c>
      <c r="F30" s="8" t="inlineStr">
        <is>
          <t>PLANNED</t>
        </is>
      </c>
    </row>
    <row r="31" ht="34" customHeight="1">
      <c r="A31" s="9" t="inlineStr">
        <is>
          <t>BR-004</t>
        </is>
      </c>
      <c r="B31" s="9" t="inlineStr">
        <is>
          <t>FR-006</t>
        </is>
      </c>
      <c r="C31" s="9" t="inlineStr">
        <is>
          <t>TMP-017</t>
        </is>
      </c>
      <c r="D31" s="9" t="inlineStr">
        <is>
          <t>TC-004</t>
        </is>
      </c>
      <c r="E31" s="9" t="inlineStr">
        <is>
          <t>tests/test_build_positions.py; independent SQL reconciliation</t>
        </is>
      </c>
      <c r="F31" s="9" t="inlineStr">
        <is>
          <t>IMPLEMENTED</t>
        </is>
      </c>
    </row>
    <row r="32" ht="34" customHeight="1">
      <c r="A32" s="8" t="inlineStr">
        <is>
          <t>BR-004</t>
        </is>
      </c>
      <c r="B32" s="8" t="inlineStr">
        <is>
          <t>FR-007</t>
        </is>
      </c>
      <c r="C32" s="8" t="inlineStr">
        <is>
          <t>TMP-017</t>
        </is>
      </c>
      <c r="D32" s="8" t="inlineStr">
        <is>
          <t>TC-005</t>
        </is>
      </c>
      <c r="E32" s="8" t="inlineStr">
        <is>
          <t>tests/test_build_positions.py; Gold break query</t>
        </is>
      </c>
      <c r="F32" s="8" t="inlineStr">
        <is>
          <t>IMPLEMENTED</t>
        </is>
      </c>
    </row>
    <row r="33" ht="34" customHeight="1">
      <c r="A33" s="9" t="inlineStr">
        <is>
          <t>BR-004</t>
        </is>
      </c>
      <c r="B33" s="9" t="inlineStr">
        <is>
          <t>FR-009</t>
        </is>
      </c>
      <c r="C33" s="9" t="inlineStr">
        <is>
          <t>TMP-012</t>
        </is>
      </c>
      <c r="D33" s="9" t="inlineStr">
        <is>
          <t>TC-004; TC-008</t>
        </is>
      </c>
      <c r="E33" s="9" t="inlineStr">
        <is>
          <t>tests/test_build_positions.py; independent SQL reconciliation; New supported Databricks/Delta run pair; compare business-key hashes</t>
        </is>
      </c>
      <c r="F33" s="9" t="inlineStr">
        <is>
          <t>PLANNED</t>
        </is>
      </c>
    </row>
    <row r="34" ht="34" customHeight="1">
      <c r="A34" s="8" t="inlineStr">
        <is>
          <t>BR-004</t>
        </is>
      </c>
      <c r="B34" s="8" t="inlineStr">
        <is>
          <t>FR-009</t>
        </is>
      </c>
      <c r="C34" s="8" t="inlineStr">
        <is>
          <t>TMP-017</t>
        </is>
      </c>
      <c r="D34" s="8" t="inlineStr">
        <is>
          <t>TC-004</t>
        </is>
      </c>
      <c r="E34" s="8" t="inlineStr">
        <is>
          <t>tests/test_build_positions.py; independent SQL reconciliation</t>
        </is>
      </c>
      <c r="F34" s="8" t="inlineStr">
        <is>
          <t>IMPLEMENTED</t>
        </is>
      </c>
    </row>
    <row r="35" ht="34" customHeight="1">
      <c r="A35" s="9" t="inlineStr">
        <is>
          <t>BR-004</t>
        </is>
      </c>
      <c r="B35" s="9" t="inlineStr">
        <is>
          <t>FR-009</t>
        </is>
      </c>
      <c r="C35" s="9" t="inlineStr">
        <is>
          <t>TMP-018</t>
        </is>
      </c>
      <c r="D35" s="9" t="inlineStr">
        <is>
          <t>TC-004; TC-008</t>
        </is>
      </c>
      <c r="E35" s="9" t="inlineStr">
        <is>
          <t>tests/test_build_positions.py; independent SQL reconciliation; New supported Databricks/Delta run pair; compare business-key hashes</t>
        </is>
      </c>
      <c r="F35" s="9" t="inlineStr">
        <is>
          <t>IMPLEMENTED</t>
        </is>
      </c>
    </row>
    <row r="36" ht="34" customHeight="1">
      <c r="A36" s="8" t="inlineStr">
        <is>
          <t>BR-005</t>
        </is>
      </c>
      <c r="B36" s="8" t="inlineStr">
        <is>
          <t>FR-007</t>
        </is>
      </c>
      <c r="C36" s="8" t="inlineStr">
        <is>
          <t>TMP-017</t>
        </is>
      </c>
      <c r="D36" s="8" t="inlineStr">
        <is>
          <t>TC-005</t>
        </is>
      </c>
      <c r="E36" s="8" t="inlineStr">
        <is>
          <t>tests/test_build_positions.py; Gold break query</t>
        </is>
      </c>
      <c r="F36" s="8" t="inlineStr">
        <is>
          <t>IMPLEMENTED</t>
        </is>
      </c>
    </row>
    <row r="37" ht="34" customHeight="1">
      <c r="A37" s="9" t="inlineStr">
        <is>
          <t>BR-005</t>
        </is>
      </c>
      <c r="B37" s="9" t="inlineStr">
        <is>
          <t>FR-008</t>
        </is>
      </c>
      <c r="C37" s="9" t="inlineStr">
        <is>
          <t>TMP-018</t>
        </is>
      </c>
      <c r="D37" s="9" t="inlineStr">
        <is>
          <t>TC-006</t>
        </is>
      </c>
      <c r="E37" s="9" t="inlineStr">
        <is>
          <t>tests/test_daily_pnl.py; documented BOOK_TECH/AAPL hand check</t>
        </is>
      </c>
      <c r="F37" s="9" t="inlineStr">
        <is>
          <t>IMPLEMENTED</t>
        </is>
      </c>
    </row>
    <row r="38" ht="34" customHeight="1">
      <c r="A38" s="8" t="inlineStr">
        <is>
          <t>BR-005</t>
        </is>
      </c>
      <c r="B38" s="8" t="inlineStr">
        <is>
          <t>FR-009</t>
        </is>
      </c>
      <c r="C38" s="8" t="inlineStr">
        <is>
          <t>TMP-012</t>
        </is>
      </c>
      <c r="D38" s="8" t="inlineStr">
        <is>
          <t>TC-004; TC-008</t>
        </is>
      </c>
      <c r="E38" s="8" t="inlineStr">
        <is>
          <t>tests/test_build_positions.py; independent SQL reconciliation; New supported Databricks/Delta run pair; compare business-key hashes</t>
        </is>
      </c>
      <c r="F38" s="8" t="inlineStr">
        <is>
          <t>PLANNED</t>
        </is>
      </c>
    </row>
    <row r="39" ht="34" customHeight="1">
      <c r="A39" s="9" t="inlineStr">
        <is>
          <t>BR-005</t>
        </is>
      </c>
      <c r="B39" s="9" t="inlineStr">
        <is>
          <t>FR-009</t>
        </is>
      </c>
      <c r="C39" s="9" t="inlineStr">
        <is>
          <t>TMP-017</t>
        </is>
      </c>
      <c r="D39" s="9" t="inlineStr">
        <is>
          <t>TC-004</t>
        </is>
      </c>
      <c r="E39" s="9" t="inlineStr">
        <is>
          <t>tests/test_build_positions.py; independent SQL reconciliation</t>
        </is>
      </c>
      <c r="F39" s="9" t="inlineStr">
        <is>
          <t>IMPLEMENTED</t>
        </is>
      </c>
    </row>
    <row r="40" ht="34" customHeight="1">
      <c r="A40" s="8" t="inlineStr">
        <is>
          <t>BR-005</t>
        </is>
      </c>
      <c r="B40" s="8" t="inlineStr">
        <is>
          <t>FR-009</t>
        </is>
      </c>
      <c r="C40" s="8" t="inlineStr">
        <is>
          <t>TMP-018</t>
        </is>
      </c>
      <c r="D40" s="8" t="inlineStr">
        <is>
          <t>TC-004; TC-008</t>
        </is>
      </c>
      <c r="E40" s="8" t="inlineStr">
        <is>
          <t>tests/test_build_positions.py; independent SQL reconciliation; New supported Databricks/Delta run pair; compare business-key hashes</t>
        </is>
      </c>
      <c r="F40" s="8" t="inlineStr">
        <is>
          <t>IMPLEMENTED</t>
        </is>
      </c>
    </row>
    <row r="41" ht="34" customHeight="1">
      <c r="A41" s="9" t="inlineStr">
        <is>
          <t>BR-006</t>
        </is>
      </c>
      <c r="B41" s="9" t="inlineStr">
        <is>
          <t>FR-010</t>
        </is>
      </c>
      <c r="C41" s="9" t="inlineStr">
        <is>
          <t>TMP-019</t>
        </is>
      </c>
      <c r="D41" s="9" t="inlineStr">
        <is>
          <t>TC-011</t>
        </is>
      </c>
      <c r="E41" s="9" t="inlineStr">
        <is>
          <t>UAT scripts, screenshot/export, stakeholder sign-off</t>
        </is>
      </c>
      <c r="F41" s="9" t="inlineStr">
        <is>
          <t>IMPLEMENTED</t>
        </is>
      </c>
    </row>
    <row r="42" ht="34" customHeight="1">
      <c r="A42" s="8" t="inlineStr">
        <is>
          <t>BR-006</t>
        </is>
      </c>
      <c r="B42" s="8" t="inlineStr">
        <is>
          <t>FR-010</t>
        </is>
      </c>
      <c r="C42" s="8" t="inlineStr">
        <is>
          <t>TMP-020</t>
        </is>
      </c>
      <c r="D42" s="8" t="inlineStr">
        <is>
          <t>TC-011</t>
        </is>
      </c>
      <c r="E42" s="8" t="inlineStr">
        <is>
          <t>UAT scripts, screenshot/export, stakeholder sign-off</t>
        </is>
      </c>
      <c r="F42" s="8" t="inlineStr">
        <is>
          <t>PLANNED</t>
        </is>
      </c>
    </row>
    <row r="43" ht="34" customHeight="1">
      <c r="A43" s="9" t="inlineStr">
        <is>
          <t>BR-006</t>
        </is>
      </c>
      <c r="B43" s="9" t="inlineStr">
        <is>
          <t>FR-011</t>
        </is>
      </c>
      <c r="C43" s="9" t="inlineStr">
        <is>
          <t>TMP-019</t>
        </is>
      </c>
      <c r="D43" s="9" t="inlineStr">
        <is>
          <t>TC-011</t>
        </is>
      </c>
      <c r="E43" s="9" t="inlineStr">
        <is>
          <t>UAT scripts, screenshot/export, stakeholder sign-off</t>
        </is>
      </c>
      <c r="F43" s="9" t="inlineStr">
        <is>
          <t>IMPLEMENTED</t>
        </is>
      </c>
    </row>
    <row r="44" ht="34" customHeight="1">
      <c r="A44" s="8" t="inlineStr">
        <is>
          <t>BR-006</t>
        </is>
      </c>
      <c r="B44" s="8" t="inlineStr">
        <is>
          <t>FR-011</t>
        </is>
      </c>
      <c r="C44" s="8" t="inlineStr">
        <is>
          <t>TMP-024</t>
        </is>
      </c>
      <c r="D44" s="8" t="inlineStr">
        <is>
          <t>TC-009; TC-012</t>
        </is>
      </c>
      <c r="E44" s="8" t="inlineStr">
        <is>
          <t>Job run URL, audit rows, recovery run and reconciliation; Access review, CI/deploy log, alert test, runbook walkthrough</t>
        </is>
      </c>
      <c r="F44" s="8" t="inlineStr">
        <is>
          <t>PLANNED</t>
        </is>
      </c>
    </row>
    <row r="45" ht="34" customHeight="1">
      <c r="A45" s="9" t="inlineStr">
        <is>
          <t>BR-007</t>
        </is>
      </c>
      <c r="B45" s="9" t="inlineStr">
        <is>
          <t>FR-005</t>
        </is>
      </c>
      <c r="C45" s="9" t="inlineStr">
        <is>
          <t>TMP-015</t>
        </is>
      </c>
      <c r="D45" s="9" t="inlineStr">
        <is>
          <t>TC-003</t>
        </is>
      </c>
      <c r="E45" s="9" t="inlineStr">
        <is>
          <t>tests/test_trades.py; tests/test_process_prices.py</t>
        </is>
      </c>
      <c r="F45" s="9" t="inlineStr">
        <is>
          <t>IMPLEMENTED</t>
        </is>
      </c>
    </row>
    <row r="46" ht="34" customHeight="1">
      <c r="A46" s="8" t="inlineStr">
        <is>
          <t>BR-007</t>
        </is>
      </c>
      <c r="B46" s="8" t="inlineStr">
        <is>
          <t>FR-005</t>
        </is>
      </c>
      <c r="C46" s="8" t="inlineStr">
        <is>
          <t>TMP-016</t>
        </is>
      </c>
      <c r="D46" s="8" t="inlineStr">
        <is>
          <t>TC-002; TC-003</t>
        </is>
      </c>
      <c r="E46" s="8" t="inlineStr">
        <is>
          <t>tests/test_ingest_prices.py; test fixtures; tests/test_trades.py; tests/test_process_prices.py</t>
        </is>
      </c>
      <c r="F46" s="8" t="inlineStr">
        <is>
          <t>PLANNED</t>
        </is>
      </c>
    </row>
    <row r="47" ht="34" customHeight="1">
      <c r="A47" s="9" t="inlineStr">
        <is>
          <t>BR-007</t>
        </is>
      </c>
      <c r="B47" s="9" t="inlineStr">
        <is>
          <t>FR-011</t>
        </is>
      </c>
      <c r="C47" s="9" t="inlineStr">
        <is>
          <t>TMP-019</t>
        </is>
      </c>
      <c r="D47" s="9" t="inlineStr">
        <is>
          <t>TC-011</t>
        </is>
      </c>
      <c r="E47" s="9" t="inlineStr">
        <is>
          <t>UAT scripts, screenshot/export, stakeholder sign-off</t>
        </is>
      </c>
      <c r="F47" s="9" t="inlineStr">
        <is>
          <t>IMPLEMENTED</t>
        </is>
      </c>
    </row>
    <row r="48" ht="34" customHeight="1">
      <c r="A48" s="8" t="inlineStr">
        <is>
          <t>BR-007</t>
        </is>
      </c>
      <c r="B48" s="8" t="inlineStr">
        <is>
          <t>FR-011</t>
        </is>
      </c>
      <c r="C48" s="8" t="inlineStr">
        <is>
          <t>TMP-024</t>
        </is>
      </c>
      <c r="D48" s="8" t="inlineStr">
        <is>
          <t>TC-009; TC-012</t>
        </is>
      </c>
      <c r="E48" s="8" t="inlineStr">
        <is>
          <t>Job run URL, audit rows, recovery run and reconciliation; Access review, CI/deploy log, alert test, runbook walkthrough</t>
        </is>
      </c>
      <c r="F48" s="8" t="inlineStr">
        <is>
          <t>PLANNED</t>
        </is>
      </c>
    </row>
    <row r="49" ht="34" customHeight="1">
      <c r="A49" s="9" t="inlineStr">
        <is>
          <t>BR-007</t>
        </is>
      </c>
      <c r="B49" s="9" t="inlineStr">
        <is>
          <t>FR-012</t>
        </is>
      </c>
      <c r="C49" s="9" t="inlineStr">
        <is>
          <t>TMP-009</t>
        </is>
      </c>
      <c r="D49" s="9" t="inlineStr">
        <is>
          <t>TC-010</t>
        </is>
      </c>
      <c r="E49" s="9" t="inlineStr">
        <is>
          <t>Bundle validate output; Job task graph and run record</t>
        </is>
      </c>
      <c r="F49" s="9" t="inlineStr">
        <is>
          <t>IMPLEMENTED</t>
        </is>
      </c>
    </row>
    <row r="50" ht="34" customHeight="1">
      <c r="A50" s="8" t="inlineStr">
        <is>
          <t>BR-007</t>
        </is>
      </c>
      <c r="B50" s="8" t="inlineStr">
        <is>
          <t>FR-012</t>
        </is>
      </c>
      <c r="C50" s="8" t="inlineStr">
        <is>
          <t>TMP-010</t>
        </is>
      </c>
      <c r="D50" s="8" t="inlineStr">
        <is>
          <t>TC-010; TC-012</t>
        </is>
      </c>
      <c r="E50" s="8" t="inlineStr">
        <is>
          <t>Bundle validate output; Job task graph and run record; Access review, CI/deploy log, alert test, runbook walkthrough</t>
        </is>
      </c>
      <c r="F50" s="8" t="inlineStr">
        <is>
          <t>PLANNED</t>
        </is>
      </c>
    </row>
    <row r="51" ht="34" customHeight="1">
      <c r="A51" s="9" t="inlineStr">
        <is>
          <t>BR-007</t>
        </is>
      </c>
      <c r="B51" s="9" t="inlineStr">
        <is>
          <t>FR-012</t>
        </is>
      </c>
      <c r="C51" s="9" t="inlineStr">
        <is>
          <t>TMP-023</t>
        </is>
      </c>
      <c r="D51" s="9" t="inlineStr">
        <is>
          <t>TC-010</t>
        </is>
      </c>
      <c r="E51" s="9" t="inlineStr">
        <is>
          <t>Bundle validate output; Job task graph and run record</t>
        </is>
      </c>
      <c r="F51" s="9" t="inlineStr">
        <is>
          <t>PARTIALLY IMPLEMENTED</t>
        </is>
      </c>
    </row>
    <row r="52" ht="34" customHeight="1">
      <c r="A52" s="8" t="inlineStr">
        <is>
          <t>BR-007</t>
        </is>
      </c>
      <c r="B52" s="8" t="inlineStr">
        <is>
          <t>FR-013</t>
        </is>
      </c>
      <c r="C52" s="8" t="inlineStr">
        <is>
          <t>TMP-016</t>
        </is>
      </c>
      <c r="D52" s="8" t="inlineStr">
        <is>
          <t>TC-008; TC-009</t>
        </is>
      </c>
      <c r="E52" s="8" t="inlineStr">
        <is>
          <t>New supported Databricks/Delta run pair; compare business-key hashes; Job run URL, audit rows, recovery run and reconciliation</t>
        </is>
      </c>
      <c r="F52" s="8" t="inlineStr">
        <is>
          <t>PLANNED</t>
        </is>
      </c>
    </row>
    <row r="53" ht="34" customHeight="1">
      <c r="A53" s="9" t="inlineStr">
        <is>
          <t>BR-007</t>
        </is>
      </c>
      <c r="B53" s="9" t="inlineStr">
        <is>
          <t>FR-013</t>
        </is>
      </c>
      <c r="C53" s="9" t="inlineStr">
        <is>
          <t>TMP-022</t>
        </is>
      </c>
      <c r="D53" s="9" t="inlineStr">
        <is>
          <t>TC-008</t>
        </is>
      </c>
      <c r="E53" s="9" t="inlineStr">
        <is>
          <t>New supported Databricks/Delta run pair; compare business-key hashes</t>
        </is>
      </c>
      <c r="F53" s="9" t="inlineStr">
        <is>
          <t>PARTIALLY IMPLEMENTED</t>
        </is>
      </c>
    </row>
    <row r="54" ht="34" customHeight="1">
      <c r="A54" s="8" t="inlineStr">
        <is>
          <t>BR-007</t>
        </is>
      </c>
      <c r="B54" s="8" t="inlineStr">
        <is>
          <t>FR-013</t>
        </is>
      </c>
      <c r="C54" s="8" t="inlineStr">
        <is>
          <t>TMP-024</t>
        </is>
      </c>
      <c r="D54" s="8" t="inlineStr">
        <is>
          <t>TC-009; TC-012</t>
        </is>
      </c>
      <c r="E54" s="8" t="inlineStr">
        <is>
          <t>Job run URL, audit rows, recovery run and reconciliation; Access review, CI/deploy log, alert test, runbook walkthrough</t>
        </is>
      </c>
      <c r="F54" s="8" t="inlineStr">
        <is>
          <t>PLANNED</t>
        </is>
      </c>
    </row>
    <row r="55" ht="34" customHeight="1">
      <c r="A55" s="9" t="inlineStr">
        <is>
          <t>BR-008</t>
        </is>
      </c>
      <c r="B55" s="9" t="inlineStr">
        <is>
          <t>FR-012</t>
        </is>
      </c>
      <c r="C55" s="9" t="inlineStr">
        <is>
          <t>TMP-009</t>
        </is>
      </c>
      <c r="D55" s="9" t="inlineStr">
        <is>
          <t>TC-010</t>
        </is>
      </c>
      <c r="E55" s="9" t="inlineStr">
        <is>
          <t>Bundle validate output; Job task graph and run record</t>
        </is>
      </c>
      <c r="F55" s="9" t="inlineStr">
        <is>
          <t>IMPLEMENTED</t>
        </is>
      </c>
    </row>
    <row r="56" ht="34" customHeight="1">
      <c r="A56" s="8" t="inlineStr">
        <is>
          <t>BR-008</t>
        </is>
      </c>
      <c r="B56" s="8" t="inlineStr">
        <is>
          <t>FR-012</t>
        </is>
      </c>
      <c r="C56" s="8" t="inlineStr">
        <is>
          <t>TMP-010</t>
        </is>
      </c>
      <c r="D56" s="8" t="inlineStr">
        <is>
          <t>TC-010; TC-012</t>
        </is>
      </c>
      <c r="E56" s="8" t="inlineStr">
        <is>
          <t>Bundle validate output; Job task graph and run record; Access review, CI/deploy log, alert test, runbook walkthrough</t>
        </is>
      </c>
      <c r="F56" s="8" t="inlineStr">
        <is>
          <t>PLANNED</t>
        </is>
      </c>
    </row>
    <row r="57" ht="34" customHeight="1">
      <c r="A57" s="9" t="inlineStr">
        <is>
          <t>BR-008</t>
        </is>
      </c>
      <c r="B57" s="9" t="inlineStr">
        <is>
          <t>FR-012</t>
        </is>
      </c>
      <c r="C57" s="9" t="inlineStr">
        <is>
          <t>TMP-023</t>
        </is>
      </c>
      <c r="D57" s="9" t="inlineStr">
        <is>
          <t>TC-010</t>
        </is>
      </c>
      <c r="E57" s="9" t="inlineStr">
        <is>
          <t>Bundle validate output; Job task graph and run record</t>
        </is>
      </c>
      <c r="F57" s="9" t="inlineStr">
        <is>
          <t>PARTIALLY IMPLEMENTED</t>
        </is>
      </c>
    </row>
    <row r="58" ht="34" customHeight="1">
      <c r="A58" s="8" t="inlineStr">
        <is>
          <t>BR-008</t>
        </is>
      </c>
      <c r="B58" s="8" t="inlineStr">
        <is>
          <t>FR-013</t>
        </is>
      </c>
      <c r="C58" s="8" t="inlineStr">
        <is>
          <t>TMP-016</t>
        </is>
      </c>
      <c r="D58" s="8" t="inlineStr">
        <is>
          <t>TC-008; TC-009</t>
        </is>
      </c>
      <c r="E58" s="8" t="inlineStr">
        <is>
          <t>New supported Databricks/Delta run pair; compare business-key hashes; Job run URL, audit rows, recovery run and reconciliation</t>
        </is>
      </c>
      <c r="F58" s="8" t="inlineStr">
        <is>
          <t>PLANNED</t>
        </is>
      </c>
    </row>
    <row r="59" ht="34" customHeight="1">
      <c r="A59" s="9" t="inlineStr">
        <is>
          <t>BR-008</t>
        </is>
      </c>
      <c r="B59" s="9" t="inlineStr">
        <is>
          <t>FR-013</t>
        </is>
      </c>
      <c r="C59" s="9" t="inlineStr">
        <is>
          <t>TMP-022</t>
        </is>
      </c>
      <c r="D59" s="9" t="inlineStr">
        <is>
          <t>TC-008</t>
        </is>
      </c>
      <c r="E59" s="9" t="inlineStr">
        <is>
          <t>New supported Databricks/Delta run pair; compare business-key hashes</t>
        </is>
      </c>
      <c r="F59" s="9" t="inlineStr">
        <is>
          <t>PARTIALLY IMPLEMENTED</t>
        </is>
      </c>
    </row>
    <row r="60" ht="34" customHeight="1">
      <c r="A60" s="8" t="inlineStr">
        <is>
          <t>BR-008</t>
        </is>
      </c>
      <c r="B60" s="8" t="inlineStr">
        <is>
          <t>FR-013</t>
        </is>
      </c>
      <c r="C60" s="8" t="inlineStr">
        <is>
          <t>TMP-024</t>
        </is>
      </c>
      <c r="D60" s="8" t="inlineStr">
        <is>
          <t>TC-009; TC-012</t>
        </is>
      </c>
      <c r="E60" s="8" t="inlineStr">
        <is>
          <t>Job run URL, audit rows, recovery run and reconciliation; Access review, CI/deploy log, alert test, runbook walkthrough</t>
        </is>
      </c>
      <c r="F60" s="8" t="inlineStr">
        <is>
          <t>PLANNED</t>
        </is>
      </c>
    </row>
  </sheetData>
  <autoFilter ref="A1:F60"/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6" customWidth="1" min="3" max="3"/>
    <col width="36" customWidth="1" min="4" max="4"/>
    <col width="30" customWidth="1" min="5" max="5"/>
    <col width="76" customWidth="1" min="6" max="6"/>
    <col width="84" customWidth="1" min="7" max="7"/>
    <col width="34" customWidth="1" min="8" max="8"/>
  </cols>
  <sheetData>
    <row r="1" ht="34" customHeight="1">
      <c r="A1" s="7" t="inlineStr">
        <is>
          <t>Test ID</t>
        </is>
      </c>
      <c r="B1" s="7" t="inlineStr">
        <is>
          <t>Test level</t>
        </is>
      </c>
      <c r="C1" s="7" t="inlineStr">
        <is>
          <t>Scope</t>
        </is>
      </c>
      <c r="D1" s="7" t="inlineStr">
        <is>
          <t>Requirement IDs</t>
        </is>
      </c>
      <c r="E1" s="7" t="inlineStr">
        <is>
          <t>Jira story</t>
        </is>
      </c>
      <c r="F1" s="7" t="inlineStr">
        <is>
          <t>Expected result</t>
        </is>
      </c>
      <c r="G1" s="7" t="inlineStr">
        <is>
          <t>Acceptance evidence</t>
        </is>
      </c>
      <c r="H1" s="7" t="inlineStr">
        <is>
          <t>Status / note</t>
        </is>
      </c>
    </row>
    <row r="2" ht="34" customHeight="1">
      <c r="A2" s="8" t="inlineStr">
        <is>
          <t>TC-001</t>
        </is>
      </c>
      <c r="B2" s="8" t="inlineStr">
        <is>
          <t>Unit / file contract</t>
        </is>
      </c>
      <c r="C2" s="8" t="inlineStr">
        <is>
          <t>Trade CSV exact header, empty/malformed file, raw strings, dedupe, no overwrite on invalid input</t>
        </is>
      </c>
      <c r="D2" s="8" t="inlineStr">
        <is>
          <t>FR-001, FR-013</t>
        </is>
      </c>
      <c r="E2" s="8" t="inlineStr">
        <is>
          <t>TMP-011</t>
        </is>
      </c>
      <c r="F2" s="8" t="inlineStr">
        <is>
          <t>Valid file writes distinct snapshot; invalid source fails before overwrite</t>
        </is>
      </c>
      <c r="G2" s="8" t="inlineStr">
        <is>
          <t>tests/test_ingest_trades.py; capture supported-runtime run</t>
        </is>
      </c>
      <c r="H2" s="8" t="inlineStr">
        <is>
          <t>Planned / existing tests to rerun</t>
        </is>
      </c>
    </row>
    <row r="3" ht="34" customHeight="1">
      <c r="A3" s="9" t="inlineStr">
        <is>
          <t>TC-002</t>
        </is>
      </c>
      <c r="B3" s="9" t="inlineStr">
        <is>
          <t>Unit / integration</t>
        </is>
      </c>
      <c r="C3" s="9" t="inlineStr">
        <is>
          <t>Price response normalization, retries, date window, no-price handling</t>
        </is>
      </c>
      <c r="D3" s="9" t="inlineStr">
        <is>
          <t>FR-002, FR-005</t>
        </is>
      </c>
      <c r="E3" s="9" t="inlineStr">
        <is>
          <t>TMP-013, TMP-014</t>
        </is>
      </c>
      <c r="F3" s="9" t="inlineStr">
        <is>
          <t>Correct close records; missing expected sessions are explicit; no invented price</t>
        </is>
      </c>
      <c r="G3" s="9" t="inlineStr">
        <is>
          <t>tests/test_ingest_prices.py; test fixtures</t>
        </is>
      </c>
      <c r="H3" s="9" t="inlineStr">
        <is>
          <t>Planned / existing tests to rerun</t>
        </is>
      </c>
    </row>
    <row r="4" ht="34" customHeight="1">
      <c r="A4" s="8" t="inlineStr">
        <is>
          <t>TC-003</t>
        </is>
      </c>
      <c r="B4" s="8" t="inlineStr">
        <is>
          <t>Data quality</t>
        </is>
      </c>
      <c r="C4" s="8" t="inlineStr">
        <is>
          <t>Silver cast, rules, reject reasons, duplicate/version precedence</t>
        </is>
      </c>
      <c r="D4" s="8" t="inlineStr">
        <is>
          <t>FR-003, FR-004, FR-005</t>
        </is>
      </c>
      <c r="E4" s="8" t="inlineStr">
        <is>
          <t>TMP-015</t>
        </is>
      </c>
      <c r="F4" s="8" t="inlineStr">
        <is>
          <t>Valid typed rows only; deterministic rejects and one selected trade version</t>
        </is>
      </c>
      <c r="G4" s="8" t="inlineStr">
        <is>
          <t>tests/test_trades.py; tests/test_process_prices.py</t>
        </is>
      </c>
      <c r="H4" s="8" t="inlineStr">
        <is>
          <t>Planned / existing tests to rerun</t>
        </is>
      </c>
    </row>
    <row r="5" ht="34" customHeight="1">
      <c r="A5" s="9" t="inlineStr">
        <is>
          <t>TC-004</t>
        </is>
      </c>
      <c r="B5" s="9" t="inlineStr">
        <is>
          <t>Calculation / reconciliation</t>
        </is>
      </c>
      <c r="C5" s="9" t="inlineStr">
        <is>
          <t>Daily and cumulative position, buys/sells, no-trade day, short/flat, correction</t>
        </is>
      </c>
      <c r="D5" s="9" t="inlineStr">
        <is>
          <t>FR-006, FR-009</t>
        </is>
      </c>
      <c r="E5" s="9" t="inlineStr">
        <is>
          <t>TMP-017, TMP-022</t>
        </is>
      </c>
      <c r="F5" s="9" t="inlineStr">
        <is>
          <t>Gold quantity matches independent trade aggregation by full grain</t>
        </is>
      </c>
      <c r="G5" s="9" t="inlineStr">
        <is>
          <t>tests/test_build_positions.py; independent SQL reconciliation</t>
        </is>
      </c>
      <c r="H5" s="9" t="inlineStr">
        <is>
          <t>Planned / existing tests to rerun</t>
        </is>
      </c>
    </row>
    <row r="6" ht="34" customHeight="1">
      <c r="A6" s="8" t="inlineStr">
        <is>
          <t>TC-005</t>
        </is>
      </c>
      <c r="B6" s="8" t="inlineStr">
        <is>
          <t>Valuation</t>
        </is>
      </c>
      <c r="C6" s="8" t="inlineStr">
        <is>
          <t>Exact-date price, currency, missing mark, null valuation and break</t>
        </is>
      </c>
      <c r="D6" s="8" t="inlineStr">
        <is>
          <t>FR-007</t>
        </is>
      </c>
      <c r="E6" s="8" t="inlineStr">
        <is>
          <t>TMP-017</t>
        </is>
      </c>
      <c r="F6" s="8" t="inlineStr">
        <is>
          <t>Value = closing quantity * exact close; missing mark does not change quantity</t>
        </is>
      </c>
      <c r="G6" s="8" t="inlineStr">
        <is>
          <t>tests/test_build_positions.py; Gold break query</t>
        </is>
      </c>
      <c r="H6" s="8" t="inlineStr">
        <is>
          <t>Planned / existing tests to rerun</t>
        </is>
      </c>
    </row>
    <row r="7" ht="34" customHeight="1">
      <c r="A7" s="9" t="inlineStr">
        <is>
          <t>TC-006</t>
        </is>
      </c>
      <c r="B7" s="9" t="inlineStr">
        <is>
          <t>P&amp;L reconciliation</t>
        </is>
      </c>
      <c r="C7" s="9" t="inlineStr">
        <is>
          <t>Opening-position price move + trade-day cash-flow term; missing baseline/current close</t>
        </is>
      </c>
      <c r="D7" s="9" t="inlineStr">
        <is>
          <t>FR-008</t>
        </is>
      </c>
      <c r="E7" s="9" t="inlineStr">
        <is>
          <t>TMP-018, TMP-022</t>
        </is>
      </c>
      <c r="F7" s="9" t="inlineStr">
        <is>
          <t>Financial values match independent Decimal calculation; missing inputs yield NULL</t>
        </is>
      </c>
      <c r="G7" s="9" t="inlineStr">
        <is>
          <t>tests/test_daily_pnl.py; documented BOOK_TECH/AAPL hand check</t>
        </is>
      </c>
      <c r="H7" s="9" t="inlineStr">
        <is>
          <t>Planned / existing tests to rerun</t>
        </is>
      </c>
    </row>
    <row r="8" ht="34" customHeight="1">
      <c r="A8" s="8" t="inlineStr">
        <is>
          <t>TC-007</t>
        </is>
      </c>
      <c r="B8" s="8" t="inlineStr">
        <is>
          <t>Schema</t>
        </is>
      </c>
      <c r="C8" s="8" t="inlineStr">
        <is>
          <t>DDL column/type/nullability/key assumptions and financial precision</t>
        </is>
      </c>
      <c r="D8" s="8" t="inlineStr">
        <is>
          <t>FR-003, FR-006, FR-008, FR-011</t>
        </is>
      </c>
      <c r="E8" s="8" t="inlineStr">
        <is>
          <t>TMP-008, TMP-021</t>
        </is>
      </c>
      <c r="F8" s="8" t="inlineStr">
        <is>
          <t>All 10 DDL tables appear in dictionary with exact SQL definitions</t>
        </is>
      </c>
      <c r="G8" s="8" t="inlineStr">
        <is>
          <t>database/tables/**/*.sql; generated Data Dictionary worksheet; update tests that still reference removed *_constraints.sql paths</t>
        </is>
      </c>
      <c r="H8" s="8" t="inlineStr">
        <is>
          <t>Planned / existing tests to rerun</t>
        </is>
      </c>
    </row>
    <row r="9" ht="34" customHeight="1">
      <c r="A9" s="9" t="inlineStr">
        <is>
          <t>TC-008</t>
        </is>
      </c>
      <c r="B9" s="9" t="inlineStr">
        <is>
          <t>Idempotency</t>
        </is>
      </c>
      <c r="C9" s="9" t="inlineStr">
        <is>
          <t>Same source snapshot/date range run twice</t>
        </is>
      </c>
      <c r="D9" s="9" t="inlineStr">
        <is>
          <t>FR-009, FR-013</t>
        </is>
      </c>
      <c r="E9" s="9" t="inlineStr">
        <is>
          <t>TMP-016, TMP-022</t>
        </is>
      </c>
      <c r="F9" s="9" t="inlineStr">
        <is>
          <t>Business values and unique keys stable; audit history reflects both attempts</t>
        </is>
      </c>
      <c r="G9" s="9" t="inlineStr">
        <is>
          <t>New supported Databricks/Delta run pair; compare business-key hashes</t>
        </is>
      </c>
      <c r="H9" s="9" t="inlineStr">
        <is>
          <t>Planned / existing tests to rerun</t>
        </is>
      </c>
    </row>
    <row r="10" ht="34" customHeight="1">
      <c r="A10" s="8" t="inlineStr">
        <is>
          <t>TC-009</t>
        </is>
      </c>
      <c r="B10" s="8" t="inlineStr">
        <is>
          <t>Recovery</t>
        </is>
      </c>
      <c r="C10" s="8" t="inlineStr">
        <is>
          <t>Inject source/task failure and rerun after correction</t>
        </is>
      </c>
      <c r="D10" s="8" t="inlineStr">
        <is>
          <t>FR-001, FR-011, FR-012, FR-013</t>
        </is>
      </c>
      <c r="E10" s="8" t="inlineStr">
        <is>
          <t>TMP-016, TMP-024</t>
        </is>
      </c>
      <c r="F10" s="8" t="inlineStr">
        <is>
          <t>Failure is audited, downstream blocked, corrected rerun reaches consistent outputs</t>
        </is>
      </c>
      <c r="G10" s="8" t="inlineStr">
        <is>
          <t>Job run URL, audit rows, recovery run and reconciliation</t>
        </is>
      </c>
      <c r="H10" s="8" t="inlineStr">
        <is>
          <t>Planned / existing tests to rerun</t>
        </is>
      </c>
    </row>
    <row r="11" ht="34" customHeight="1">
      <c r="A11" s="9" t="inlineStr">
        <is>
          <t>TC-010</t>
        </is>
      </c>
      <c r="B11" s="9" t="inlineStr">
        <is>
          <t>Workflow integration</t>
        </is>
      </c>
      <c r="C11" s="9" t="inlineStr">
        <is>
          <t>Six-task DAG, parallel source branches, Bundle parameters and deployment smoke test</t>
        </is>
      </c>
      <c r="D11" s="9" t="inlineStr">
        <is>
          <t>FR-012</t>
        </is>
      </c>
      <c r="E11" s="9" t="inlineStr">
        <is>
          <t>TMP-009, TMP-010, TMP-023</t>
        </is>
      </c>
      <c r="F11" s="9" t="inlineStr">
        <is>
          <t>Prices/trades branches run independently, join before positions, P&amp;L runs last</t>
        </is>
      </c>
      <c r="G11" s="9" t="inlineStr">
        <is>
          <t>Bundle validate output; Job task graph and run record</t>
        </is>
      </c>
      <c r="H11" s="9" t="inlineStr">
        <is>
          <t>Planned / existing tests to rerun</t>
        </is>
      </c>
    </row>
    <row r="12" ht="34" customHeight="1">
      <c r="A12" s="8" t="inlineStr">
        <is>
          <t>TC-011</t>
        </is>
      </c>
      <c r="B12" s="8" t="inlineStr">
        <is>
          <t>Reporting / UAT</t>
        </is>
      </c>
      <c r="C12" s="8" t="inlineStr">
        <is>
          <t>Run status, row counts, rejects, breaks, positions, P&amp;L, dashboard access</t>
        </is>
      </c>
      <c r="D12" s="8" t="inlineStr">
        <is>
          <t>FR-010, FR-011</t>
        </is>
      </c>
      <c r="E12" s="8" t="inlineStr">
        <is>
          <t>TMP-019, TMP-020, TMP-022</t>
        </is>
      </c>
      <c r="F12" s="8" t="inlineStr">
        <is>
          <t>Report/dashboard totals reconcile to Gold; unavailable measures are clearly labeled</t>
        </is>
      </c>
      <c r="G12" s="8" t="inlineStr">
        <is>
          <t>UAT scripts, screenshot/export, stakeholder sign-off</t>
        </is>
      </c>
      <c r="H12" s="8" t="inlineStr">
        <is>
          <t>Planned / existing tests to rerun</t>
        </is>
      </c>
    </row>
    <row r="13" ht="34" customHeight="1">
      <c r="A13" s="9" t="inlineStr">
        <is>
          <t>TC-012</t>
        </is>
      </c>
      <c r="B13" s="9" t="inlineStr">
        <is>
          <t>Deployment / operations</t>
        </is>
      </c>
      <c r="C13" s="9" t="inlineStr">
        <is>
          <t>Environment config, least privilege, notifications, recovery, handover</t>
        </is>
      </c>
      <c r="D13" s="9" t="inlineStr">
        <is>
          <t>FR-011, FR-012, FR-013</t>
        </is>
      </c>
      <c r="E13" s="9" t="inlineStr">
        <is>
          <t>TMP-005, TMP-010, TMP-024</t>
        </is>
      </c>
      <c r="F13" s="9" t="inlineStr">
        <is>
          <t>Approved identity and runbook are usable; schedule remains gated until readiness approval</t>
        </is>
      </c>
      <c r="G13" s="9" t="inlineStr">
        <is>
          <t>Access review, CI/deploy log, alert test, runbook walkthrough</t>
        </is>
      </c>
      <c r="H13" s="9" t="inlineStr">
        <is>
          <t>Planned / existing tests to rerun</t>
        </is>
      </c>
    </row>
  </sheetData>
  <autoFilter ref="A1:H13"/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92" customWidth="1" min="4" max="4"/>
    <col width="96" customWidth="1" min="5" max="5"/>
  </cols>
  <sheetData>
    <row r="1" ht="34" customHeight="1">
      <c r="A1" s="7" t="inlineStr">
        <is>
          <t>Area</t>
        </is>
      </c>
      <c r="B1" s="7" t="inlineStr">
        <is>
          <t>Capability</t>
        </is>
      </c>
      <c r="C1" s="7" t="inlineStr">
        <is>
          <t>Status</t>
        </is>
      </c>
      <c r="D1" s="7" t="inlineStr">
        <is>
          <t>Verified evidence</t>
        </is>
      </c>
      <c r="E1" s="7" t="inlineStr">
        <is>
          <t>Gap / limitation</t>
        </is>
      </c>
    </row>
    <row r="2" ht="34" customHeight="1">
      <c r="A2" s="8" t="inlineStr">
        <is>
          <t>Source</t>
        </is>
      </c>
      <c r="B2" s="8" t="inlineStr">
        <is>
          <t>Trade input</t>
        </is>
      </c>
      <c r="C2" s="8" t="inlineStr">
        <is>
          <t>IMPLEMENTED</t>
        </is>
      </c>
      <c r="D2" s="8" t="inlineStr">
        <is>
          <t>Synthetic 14-field CSV; 1,200-row sample; UC Volume input</t>
        </is>
      </c>
      <c r="E2" s="8" t="inlineStr">
        <is>
          <t>No real trading-system connector; full snapshot and missing-ID semantics need business decision</t>
        </is>
      </c>
    </row>
    <row r="3" ht="34" customHeight="1">
      <c r="A3" s="9" t="inlineStr">
        <is>
          <t>Source</t>
        </is>
      </c>
      <c r="B3" s="9" t="inlineStr">
        <is>
          <t>Market prices</t>
        </is>
      </c>
      <c r="C3" s="9" t="inlineStr">
        <is>
          <t>IMPLEMENTED</t>
        </is>
      </c>
      <c r="D3" s="9" t="inlineStr">
        <is>
          <t>yfinance unadjusted close; ten defaults; USD</t>
        </is>
      </c>
      <c r="E3" s="9" t="inlineStr">
        <is>
          <t>No approved/licensed production provider evidence</t>
        </is>
      </c>
    </row>
    <row r="4" ht="34" customHeight="1">
      <c r="A4" s="8" t="inlineStr">
        <is>
          <t>Data</t>
        </is>
      </c>
      <c r="B4" s="8" t="inlineStr">
        <is>
          <t>Reference data</t>
        </is>
      </c>
      <c r="C4" s="8" t="inlineStr">
        <is>
          <t>PARTIALLY IMPLEMENTED</t>
        </is>
      </c>
      <c r="D4" s="8" t="inlineStr">
        <is>
          <t>Ten instrument mappings in Python config</t>
        </is>
      </c>
      <c r="E4" s="8" t="inlineStr">
        <is>
          <t>No persisted/effective-dated instruments, books, or counterparties</t>
        </is>
      </c>
    </row>
    <row r="5" ht="34" customHeight="1">
      <c r="A5" s="9" t="inlineStr">
        <is>
          <t>Pipeline</t>
        </is>
      </c>
      <c r="B5" s="9" t="inlineStr">
        <is>
          <t>Bronze/Silver/Gold</t>
        </is>
      </c>
      <c r="C5" s="9" t="inlineStr">
        <is>
          <t>IMPLEMENTED</t>
        </is>
      </c>
      <c r="D5" s="9" t="inlineStr">
        <is>
          <t>10 physical Delta tables; PySpark modules; validation, rejects, lineage</t>
        </is>
      </c>
      <c r="E5" s="9" t="inlineStr">
        <is>
          <t>No reporting schema/table or explicit table PK enforcement</t>
        </is>
      </c>
    </row>
    <row r="6" ht="34" customHeight="1">
      <c r="A6" s="8" t="inlineStr">
        <is>
          <t>Calculations</t>
        </is>
      </c>
      <c r="B6" s="8" t="inlineStr">
        <is>
          <t>Positions/P&amp;L</t>
        </is>
      </c>
      <c r="C6" s="8" t="inlineStr">
        <is>
          <t>IMPLEMENTED</t>
        </is>
      </c>
      <c r="D6" s="8" t="inlineStr">
        <is>
          <t>Position/P&amp;L transforms and dated independent SQL reconciliation</t>
        </is>
      </c>
      <c r="E6" s="8" t="inlineStr">
        <is>
          <t>Simplified USD cash equities; no fees/FX/dividends/corporate actions</t>
        </is>
      </c>
    </row>
    <row r="7" ht="34" customHeight="1">
      <c r="A7" s="9" t="inlineStr">
        <is>
          <t>Reporting</t>
        </is>
      </c>
      <c r="B7" s="9" t="inlineStr">
        <is>
          <t>Notebook and SQL</t>
        </is>
      </c>
      <c r="C7" s="9" t="inlineStr">
        <is>
          <t>IMPLEMENTED</t>
        </is>
      </c>
      <c r="D7" s="9" t="inlineStr">
        <is>
          <t>Run-trigger and read-only report notebooks; demo queries</t>
        </is>
      </c>
      <c r="E7" s="9" t="inlineStr">
        <is>
          <t>No deployed dashboard; report has known unavailable counters</t>
        </is>
      </c>
    </row>
    <row r="8" ht="34" customHeight="1">
      <c r="A8" s="8" t="inlineStr">
        <is>
          <t>Operations</t>
        </is>
      </c>
      <c r="B8" s="8" t="inlineStr">
        <is>
          <t>Audit/recovery</t>
        </is>
      </c>
      <c r="C8" s="8" t="inlineStr">
        <is>
          <t>PARTIALLY IMPLEMENTED</t>
        </is>
      </c>
      <c r="D8" s="8" t="inlineStr">
        <is>
          <t>Task attempt logs; reject history; valuation breaks; safe rerun code</t>
        </is>
      </c>
      <c r="E8" s="8" t="inlineStr">
        <is>
          <t>No automated alerts; second identical Databricks run was queued in dated evidence</t>
        </is>
      </c>
    </row>
    <row r="9" ht="34" customHeight="1">
      <c r="A9" s="9" t="inlineStr">
        <is>
          <t>Deployment</t>
        </is>
      </c>
      <c r="B9" s="9" t="inlineStr">
        <is>
          <t>Databricks Bundle</t>
        </is>
      </c>
      <c r="C9" s="9" t="inlineStr">
        <is>
          <t>PARTIALLY IMPLEMENTED</t>
        </is>
      </c>
      <c r="D9" s="9" t="inlineStr">
        <is>
          <t>Dev target, wheel build, deploy script; six-task Job</t>
        </is>
      </c>
      <c r="E9" s="9" t="inlineStr">
        <is>
          <t>Schedule paused; no CI/test/prod targets or production principal evidenced</t>
        </is>
      </c>
    </row>
    <row r="10" ht="34" customHeight="1">
      <c r="A10" s="8" t="inlineStr">
        <is>
          <t>Testing</t>
        </is>
      </c>
      <c r="B10" s="8" t="inlineStr">
        <is>
          <t>pytest and Databricks run</t>
        </is>
      </c>
      <c r="C10" s="8" t="inlineStr">
        <is>
          <t>PARTIALLY IMPLEMENTED</t>
        </is>
      </c>
      <c r="D10" s="8" t="inlineStr">
        <is>
          <t>Dated run 2026-10-11: six tasks succeeded; positions 5,990 and P&amp;L 835 reconciled with zero mismatches. Focused test run found 3 stale DDL-path failures.</t>
        </is>
      </c>
      <c r="E10" s="8" t="inlineStr">
        <is>
          <t>Tests expect removed trades_constraints.sql / market_prices_constraints.sql; constraints are in consolidated DDL. Second run unverified; Spark/Delta runtime required for full integration proof</t>
        </is>
      </c>
    </row>
  </sheetData>
  <autoFilter ref="A1:E10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2026-10-14T18:08:40Z</dcterms:created>
  <dcterms:modified xmlns:dcterms="http://purl.org/dc/terms/" xmlns:xsi="http://www.w3.org/2001/XMLSchema-instance" xsi:type="dcterms:W3CDTF">2026-10-14T18:08:40Z</dcterms:modified>
</cp:coreProperties>
</file>